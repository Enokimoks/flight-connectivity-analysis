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ki\Documents\"/>
    </mc:Choice>
  </mc:AlternateContent>
  <xr:revisionPtr revIDLastSave="0" documentId="13_ncr:1_{0E7A2AAF-05D5-4665-9440-E53CD9522D3C}" xr6:coauthVersionLast="47" xr6:coauthVersionMax="47" xr10:uidLastSave="{00000000-0000-0000-0000-000000000000}"/>
  <bookViews>
    <workbookView xWindow="-120" yWindow="-120" windowWidth="20730" windowHeight="11160" firstSheet="3" activeTab="6" xr2:uid="{B5CAE739-E492-4BBC-9325-4AEF75AB8B6A}"/>
  </bookViews>
  <sheets>
    <sheet name="nigeria dataset" sheetId="6" r:id="rId1"/>
    <sheet name="pivot table 1" sheetId="7" r:id="rId2"/>
    <sheet name="pivot table 2" sheetId="8" r:id="rId3"/>
    <sheet name="pivot table 3" sheetId="9" r:id="rId4"/>
    <sheet name="pivot table 4" sheetId="10" r:id="rId5"/>
    <sheet name="pivot table 5" sheetId="11" r:id="rId6"/>
    <sheet name="dashboard" sheetId="12" r:id="rId7"/>
  </sheets>
  <calcPr calcId="191029"/>
  <pivotCaches>
    <pivotCache cacheId="17" r:id="rId8"/>
    <pivotCache cacheId="28" r:id="rId9"/>
    <pivotCache cacheId="3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2" i="6"/>
</calcChain>
</file>

<file path=xl/sharedStrings.xml><?xml version="1.0" encoding="utf-8"?>
<sst xmlns="http://schemas.openxmlformats.org/spreadsheetml/2006/main" count="484" uniqueCount="169">
  <si>
    <t>U</t>
  </si>
  <si>
    <t>airport</t>
  </si>
  <si>
    <t>OurAirports</t>
  </si>
  <si>
    <t>N</t>
  </si>
  <si>
    <t>\N</t>
  </si>
  <si>
    <t>Benin</t>
  </si>
  <si>
    <t>Nnamdi Azikiwe International Airport</t>
  </si>
  <si>
    <t>Abuja</t>
  </si>
  <si>
    <t>Nigeria</t>
  </si>
  <si>
    <t>ABV</t>
  </si>
  <si>
    <t>DNAA</t>
  </si>
  <si>
    <t>Africa/Lagos</t>
  </si>
  <si>
    <t>Akure Airport</t>
  </si>
  <si>
    <t>Akure</t>
  </si>
  <si>
    <t>AKR</t>
  </si>
  <si>
    <t>DNAK</t>
  </si>
  <si>
    <t>Benin Airport</t>
  </si>
  <si>
    <t>BNI</t>
  </si>
  <si>
    <t>DNBE</t>
  </si>
  <si>
    <t>Margaret Ekpo International Airport</t>
  </si>
  <si>
    <t>Calabar</t>
  </si>
  <si>
    <t>CBQ</t>
  </si>
  <si>
    <t>DNCA</t>
  </si>
  <si>
    <t>Akanu Ibiam International Airport</t>
  </si>
  <si>
    <t>Enugu</t>
  </si>
  <si>
    <t>ENU</t>
  </si>
  <si>
    <t>DNEN</t>
  </si>
  <si>
    <t>Gusau Airport</t>
  </si>
  <si>
    <t>Gusau</t>
  </si>
  <si>
    <t>DNGU</t>
  </si>
  <si>
    <t>Ibadan Airport</t>
  </si>
  <si>
    <t>Ibadan</t>
  </si>
  <si>
    <t>IBA</t>
  </si>
  <si>
    <t>DNIB</t>
  </si>
  <si>
    <t>Ilorin International Airport</t>
  </si>
  <si>
    <t>Ilorin</t>
  </si>
  <si>
    <t>ILR</t>
  </si>
  <si>
    <t>DNIL</t>
  </si>
  <si>
    <t>Yakubu Gowon Airport</t>
  </si>
  <si>
    <t>Jos</t>
  </si>
  <si>
    <t>JOS</t>
  </si>
  <si>
    <t>DNJO</t>
  </si>
  <si>
    <t>Kaduna Airport</t>
  </si>
  <si>
    <t>Kaduna</t>
  </si>
  <si>
    <t>KAD</t>
  </si>
  <si>
    <t>DNKA</t>
  </si>
  <si>
    <t>Mallam Aminu International Airport</t>
  </si>
  <si>
    <t>Kano</t>
  </si>
  <si>
    <t>KAN</t>
  </si>
  <si>
    <t>DNKN</t>
  </si>
  <si>
    <t>Maiduguri International Airport</t>
  </si>
  <si>
    <t>Maiduguri</t>
  </si>
  <si>
    <t>MIU</t>
  </si>
  <si>
    <t>DNMA</t>
  </si>
  <si>
    <t>Makurdi Airport</t>
  </si>
  <si>
    <t>Makurdi</t>
  </si>
  <si>
    <t>MDI</t>
  </si>
  <si>
    <t>DNMK</t>
  </si>
  <si>
    <t>Murtala Muhammed International Airport</t>
  </si>
  <si>
    <t>Lagos</t>
  </si>
  <si>
    <t>LOS</t>
  </si>
  <si>
    <t>DNMM</t>
  </si>
  <si>
    <t>Minna Airport</t>
  </si>
  <si>
    <t>Minna</t>
  </si>
  <si>
    <t>MXJ</t>
  </si>
  <si>
    <t>DNMN</t>
  </si>
  <si>
    <t>Port Harcourt International Airport</t>
  </si>
  <si>
    <t>Port Hartcourt</t>
  </si>
  <si>
    <t>PHC</t>
  </si>
  <si>
    <t>DNPO</t>
  </si>
  <si>
    <t>Sadiq Abubakar III International Airport</t>
  </si>
  <si>
    <t>Sokoto</t>
  </si>
  <si>
    <t>SKO</t>
  </si>
  <si>
    <t>DNSO</t>
  </si>
  <si>
    <t>Yola Airport</t>
  </si>
  <si>
    <t>Yola</t>
  </si>
  <si>
    <t>YOL</t>
  </si>
  <si>
    <t>DNYO</t>
  </si>
  <si>
    <t>Zaria Airport</t>
  </si>
  <si>
    <t>Zaria</t>
  </si>
  <si>
    <t>ZAR</t>
  </si>
  <si>
    <t>DNZA</t>
  </si>
  <si>
    <t>Sam Mbakwe International Airport</t>
  </si>
  <si>
    <t>Imo</t>
  </si>
  <si>
    <t>QOW</t>
  </si>
  <si>
    <t>DNIM</t>
  </si>
  <si>
    <t>Warri Airport</t>
  </si>
  <si>
    <t>Osubi</t>
  </si>
  <si>
    <t>QRW</t>
  </si>
  <si>
    <t>DNSU</t>
  </si>
  <si>
    <t>Asaba International Airport</t>
  </si>
  <si>
    <t>Asaba</t>
  </si>
  <si>
    <t>ABB</t>
  </si>
  <si>
    <t>DNAS</t>
  </si>
  <si>
    <t>Akwa Ibom International Airport</t>
  </si>
  <si>
    <t>Uyo</t>
  </si>
  <si>
    <t>QUO</t>
  </si>
  <si>
    <t>DNAI</t>
  </si>
  <si>
    <t>Srr Ahmadu Bello International Airport</t>
  </si>
  <si>
    <t>Birnin Kebbi</t>
  </si>
  <si>
    <t>DNBK</t>
  </si>
  <si>
    <t>Sir Abubakar Tafawa Balewa International Airport</t>
  </si>
  <si>
    <t>Bauchi</t>
  </si>
  <si>
    <t>BCU</t>
  </si>
  <si>
    <t>DNBC</t>
  </si>
  <si>
    <t>Gombe Lawanti International Airport</t>
  </si>
  <si>
    <t>Gombe</t>
  </si>
  <si>
    <t>GMO</t>
  </si>
  <si>
    <t>DNGO</t>
  </si>
  <si>
    <t>Dutse International Airport</t>
  </si>
  <si>
    <t>Dutse</t>
  </si>
  <si>
    <t>DNDS</t>
  </si>
  <si>
    <t>Jalingo Airport</t>
  </si>
  <si>
    <t>Jalingo</t>
  </si>
  <si>
    <t>DNJA</t>
  </si>
  <si>
    <t>Name</t>
  </si>
  <si>
    <t>City</t>
  </si>
  <si>
    <t>Country</t>
  </si>
  <si>
    <t>IATA</t>
  </si>
  <si>
    <t>ICAO</t>
  </si>
  <si>
    <t>Latitude</t>
  </si>
  <si>
    <t>Longitude</t>
  </si>
  <si>
    <t>Altitude</t>
  </si>
  <si>
    <t>Timezone</t>
  </si>
  <si>
    <t>DST</t>
  </si>
  <si>
    <t>Tz_database</t>
  </si>
  <si>
    <t>Type</t>
  </si>
  <si>
    <t>Source</t>
  </si>
  <si>
    <t>Grand Total</t>
  </si>
  <si>
    <t>AIRPORT ID</t>
  </si>
  <si>
    <t>Sum of AIRPORT ID</t>
  </si>
  <si>
    <t>Count of AIRPORT ID</t>
  </si>
  <si>
    <t>Average of Altitude</t>
  </si>
  <si>
    <t>Average Height</t>
  </si>
  <si>
    <t>Highest Point</t>
  </si>
  <si>
    <t>Airport Type</t>
  </si>
  <si>
    <t>Domestic</t>
  </si>
  <si>
    <t>International</t>
  </si>
  <si>
    <t>4-6</t>
  </si>
  <si>
    <t>6-8</t>
  </si>
  <si>
    <t>8-10</t>
  </si>
  <si>
    <t>10-12</t>
  </si>
  <si>
    <t>12-14</t>
  </si>
  <si>
    <t>Column Labels</t>
  </si>
  <si>
    <t>3-5</t>
  </si>
  <si>
    <t>5-7</t>
  </si>
  <si>
    <t>7-9</t>
  </si>
  <si>
    <t>9-11</t>
  </si>
  <si>
    <t>11-13</t>
  </si>
  <si>
    <t>13-15</t>
  </si>
  <si>
    <t>Effieciency score</t>
  </si>
  <si>
    <t>Average of Effieciency score</t>
  </si>
  <si>
    <t>city</t>
  </si>
  <si>
    <t xml:space="preserve">TITLE : AIRPORT COUNT BY CITY </t>
  </si>
  <si>
    <t>SUBTITLE: Purpose: Identify cities with multiple airports vs. underserved locations</t>
  </si>
  <si>
    <t>INSIGHT: No city in Nigeria has multiple major airports</t>
  </si>
  <si>
    <t>TITLE: OPERATIONAL COST DRIVERS BY ALTITUDE</t>
  </si>
  <si>
    <t>SUBTITLE: Purpose: High altitude = 15% higher fuel costs per 1000 ft</t>
  </si>
  <si>
    <t>TITLE: FIGURE 3: NIGERIA'S AIRPORT NETWORK TIERS</t>
  </si>
  <si>
    <t>SUBTITLE: Purpose: Strategic allocation of international gateways</t>
  </si>
  <si>
    <t>KEY INSIGHT CELL:  57.14% are international hubs, 42.86% domestic feeders</t>
  </si>
  <si>
    <t>INSIGHT: Jos (4,232 ft) requires premium pricing strategy"</t>
  </si>
  <si>
    <t>TITLE:GEOGRAPHIC COVERAGE HEAT MAP</t>
  </si>
  <si>
    <t>SUBTITLE:Purpose: Identify infrastructure gaps for expansion planning</t>
  </si>
  <si>
    <t>INSIGHT: Red zones = underserved regions with &gt;5M population</t>
  </si>
  <si>
    <t>TITLE: AIRPORT OPERATIONAL EFFICIENCY RANKING</t>
  </si>
  <si>
    <t>SUBTITLE: Purpose: Prioritize infrastructure investments based on ROI</t>
  </si>
  <si>
    <t>INSIGHT: Low-altitude airports score 100/100 efficiency and Jos has the lowest efficiency score altitude</t>
  </si>
  <si>
    <t>ANALYSIS OF NIGERIA AIRPORTS BY ENOCH EMENG IMOKE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</si>
</sst>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[openflights_airport_nigeria_analysis.xlsx]pivot table 1!PivotTable5</c:name>
    <c:fmtId val="3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1'!$A$5:$A$33</c:f>
              <c:strCache>
                <c:ptCount val="28"/>
                <c:pt idx="0">
                  <c:v>Zaria</c:v>
                </c:pt>
                <c:pt idx="1">
                  <c:v>Yola</c:v>
                </c:pt>
                <c:pt idx="2">
                  <c:v>Uyo</c:v>
                </c:pt>
                <c:pt idx="3">
                  <c:v>Sokoto</c:v>
                </c:pt>
                <c:pt idx="4">
                  <c:v>Port Hartcourt</c:v>
                </c:pt>
                <c:pt idx="5">
                  <c:v>Osubi</c:v>
                </c:pt>
                <c:pt idx="6">
                  <c:v>Minna</c:v>
                </c:pt>
                <c:pt idx="7">
                  <c:v>Makurdi</c:v>
                </c:pt>
                <c:pt idx="8">
                  <c:v>Maiduguri</c:v>
                </c:pt>
                <c:pt idx="9">
                  <c:v>Lagos</c:v>
                </c:pt>
                <c:pt idx="10">
                  <c:v>Kano</c:v>
                </c:pt>
                <c:pt idx="11">
                  <c:v>Kaduna</c:v>
                </c:pt>
                <c:pt idx="12">
                  <c:v>Jos</c:v>
                </c:pt>
                <c:pt idx="13">
                  <c:v>Jalingo</c:v>
                </c:pt>
                <c:pt idx="14">
                  <c:v>Imo</c:v>
                </c:pt>
                <c:pt idx="15">
                  <c:v>Ilorin</c:v>
                </c:pt>
                <c:pt idx="16">
                  <c:v>Ibadan</c:v>
                </c:pt>
                <c:pt idx="17">
                  <c:v>Gusau</c:v>
                </c:pt>
                <c:pt idx="18">
                  <c:v>Gombe</c:v>
                </c:pt>
                <c:pt idx="19">
                  <c:v>Enugu</c:v>
                </c:pt>
                <c:pt idx="20">
                  <c:v>Dutse</c:v>
                </c:pt>
                <c:pt idx="21">
                  <c:v>Calabar</c:v>
                </c:pt>
                <c:pt idx="22">
                  <c:v>Birnin Kebbi</c:v>
                </c:pt>
                <c:pt idx="23">
                  <c:v>Benin</c:v>
                </c:pt>
                <c:pt idx="24">
                  <c:v>Bauchi</c:v>
                </c:pt>
                <c:pt idx="25">
                  <c:v>Asaba</c:v>
                </c:pt>
                <c:pt idx="26">
                  <c:v>Akure</c:v>
                </c:pt>
                <c:pt idx="27">
                  <c:v>Abuja</c:v>
                </c:pt>
              </c:strCache>
            </c:strRef>
          </c:cat>
          <c:val>
            <c:numRef>
              <c:f>'pivot table 1'!$B$5:$B$33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6-4E04-B628-F01FBEA06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971648"/>
        <c:axId val="538970208"/>
      </c:barChart>
      <c:catAx>
        <c:axId val="53897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0208"/>
        <c:crosses val="autoZero"/>
        <c:auto val="1"/>
        <c:lblAlgn val="ctr"/>
        <c:lblOffset val="100"/>
        <c:noMultiLvlLbl val="0"/>
      </c:catAx>
      <c:valAx>
        <c:axId val="53897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[openflights_airport_nigeria_analysis.xlsx]pivot table 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2'!$B$4</c:f>
              <c:strCache>
                <c:ptCount val="1"/>
                <c:pt idx="0">
                  <c:v>Average Height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2'!$A$5:$A$33</c:f>
              <c:strCache>
                <c:ptCount val="28"/>
                <c:pt idx="0">
                  <c:v>Zaria</c:v>
                </c:pt>
                <c:pt idx="1">
                  <c:v>Yola</c:v>
                </c:pt>
                <c:pt idx="2">
                  <c:v>Uyo</c:v>
                </c:pt>
                <c:pt idx="3">
                  <c:v>Sokoto</c:v>
                </c:pt>
                <c:pt idx="4">
                  <c:v>Port Hartcourt</c:v>
                </c:pt>
                <c:pt idx="5">
                  <c:v>Osubi</c:v>
                </c:pt>
                <c:pt idx="6">
                  <c:v>Minna</c:v>
                </c:pt>
                <c:pt idx="7">
                  <c:v>Makurdi</c:v>
                </c:pt>
                <c:pt idx="8">
                  <c:v>Maiduguri</c:v>
                </c:pt>
                <c:pt idx="9">
                  <c:v>Lagos</c:v>
                </c:pt>
                <c:pt idx="10">
                  <c:v>Kano</c:v>
                </c:pt>
                <c:pt idx="11">
                  <c:v>Kaduna</c:v>
                </c:pt>
                <c:pt idx="12">
                  <c:v>Jos</c:v>
                </c:pt>
                <c:pt idx="13">
                  <c:v>Jalingo</c:v>
                </c:pt>
                <c:pt idx="14">
                  <c:v>Imo</c:v>
                </c:pt>
                <c:pt idx="15">
                  <c:v>Ilorin</c:v>
                </c:pt>
                <c:pt idx="16">
                  <c:v>Ibadan</c:v>
                </c:pt>
                <c:pt idx="17">
                  <c:v>Gusau</c:v>
                </c:pt>
                <c:pt idx="18">
                  <c:v>Gombe</c:v>
                </c:pt>
                <c:pt idx="19">
                  <c:v>Enugu</c:v>
                </c:pt>
                <c:pt idx="20">
                  <c:v>Dutse</c:v>
                </c:pt>
                <c:pt idx="21">
                  <c:v>Calabar</c:v>
                </c:pt>
                <c:pt idx="22">
                  <c:v>Birnin Kebbi</c:v>
                </c:pt>
                <c:pt idx="23">
                  <c:v>Benin</c:v>
                </c:pt>
                <c:pt idx="24">
                  <c:v>Bauchi</c:v>
                </c:pt>
                <c:pt idx="25">
                  <c:v>Asaba</c:v>
                </c:pt>
                <c:pt idx="26">
                  <c:v>Akure</c:v>
                </c:pt>
                <c:pt idx="27">
                  <c:v>Abuja</c:v>
                </c:pt>
              </c:strCache>
            </c:strRef>
          </c:cat>
          <c:val>
            <c:numRef>
              <c:f>'pivot table 2'!$B$5:$B$33</c:f>
              <c:numCache>
                <c:formatCode>General</c:formatCode>
                <c:ptCount val="28"/>
                <c:pt idx="0">
                  <c:v>2170</c:v>
                </c:pt>
                <c:pt idx="1">
                  <c:v>599</c:v>
                </c:pt>
                <c:pt idx="2">
                  <c:v>170</c:v>
                </c:pt>
                <c:pt idx="3">
                  <c:v>1010</c:v>
                </c:pt>
                <c:pt idx="4">
                  <c:v>87</c:v>
                </c:pt>
                <c:pt idx="5">
                  <c:v>242</c:v>
                </c:pt>
                <c:pt idx="6">
                  <c:v>834</c:v>
                </c:pt>
                <c:pt idx="7">
                  <c:v>371</c:v>
                </c:pt>
                <c:pt idx="8">
                  <c:v>1099</c:v>
                </c:pt>
                <c:pt idx="9">
                  <c:v>135</c:v>
                </c:pt>
                <c:pt idx="10">
                  <c:v>1562</c:v>
                </c:pt>
                <c:pt idx="11">
                  <c:v>2073</c:v>
                </c:pt>
                <c:pt idx="12">
                  <c:v>4232</c:v>
                </c:pt>
                <c:pt idx="13">
                  <c:v>685</c:v>
                </c:pt>
                <c:pt idx="14">
                  <c:v>373</c:v>
                </c:pt>
                <c:pt idx="15">
                  <c:v>1126</c:v>
                </c:pt>
                <c:pt idx="16">
                  <c:v>725</c:v>
                </c:pt>
                <c:pt idx="17">
                  <c:v>1520</c:v>
                </c:pt>
                <c:pt idx="18">
                  <c:v>1590</c:v>
                </c:pt>
                <c:pt idx="19">
                  <c:v>466</c:v>
                </c:pt>
                <c:pt idx="20">
                  <c:v>1365</c:v>
                </c:pt>
                <c:pt idx="21">
                  <c:v>210</c:v>
                </c:pt>
                <c:pt idx="22">
                  <c:v>775</c:v>
                </c:pt>
                <c:pt idx="23">
                  <c:v>258</c:v>
                </c:pt>
                <c:pt idx="24">
                  <c:v>1965</c:v>
                </c:pt>
                <c:pt idx="25">
                  <c:v>305</c:v>
                </c:pt>
                <c:pt idx="26">
                  <c:v>1100</c:v>
                </c:pt>
                <c:pt idx="27">
                  <c:v>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0-4A5A-A78C-71B6FF1F0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973808"/>
        <c:axId val="538974168"/>
      </c:barChart>
      <c:lineChart>
        <c:grouping val="standard"/>
        <c:varyColors val="0"/>
        <c:ser>
          <c:idx val="1"/>
          <c:order val="1"/>
          <c:tx>
            <c:strRef>
              <c:f>'pivot table 2'!$C$4</c:f>
              <c:strCache>
                <c:ptCount val="1"/>
                <c:pt idx="0">
                  <c:v>Highest Point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2'!$A$5:$A$33</c:f>
              <c:strCache>
                <c:ptCount val="28"/>
                <c:pt idx="0">
                  <c:v>Zaria</c:v>
                </c:pt>
                <c:pt idx="1">
                  <c:v>Yola</c:v>
                </c:pt>
                <c:pt idx="2">
                  <c:v>Uyo</c:v>
                </c:pt>
                <c:pt idx="3">
                  <c:v>Sokoto</c:v>
                </c:pt>
                <c:pt idx="4">
                  <c:v>Port Hartcourt</c:v>
                </c:pt>
                <c:pt idx="5">
                  <c:v>Osubi</c:v>
                </c:pt>
                <c:pt idx="6">
                  <c:v>Minna</c:v>
                </c:pt>
                <c:pt idx="7">
                  <c:v>Makurdi</c:v>
                </c:pt>
                <c:pt idx="8">
                  <c:v>Maiduguri</c:v>
                </c:pt>
                <c:pt idx="9">
                  <c:v>Lagos</c:v>
                </c:pt>
                <c:pt idx="10">
                  <c:v>Kano</c:v>
                </c:pt>
                <c:pt idx="11">
                  <c:v>Kaduna</c:v>
                </c:pt>
                <c:pt idx="12">
                  <c:v>Jos</c:v>
                </c:pt>
                <c:pt idx="13">
                  <c:v>Jalingo</c:v>
                </c:pt>
                <c:pt idx="14">
                  <c:v>Imo</c:v>
                </c:pt>
                <c:pt idx="15">
                  <c:v>Ilorin</c:v>
                </c:pt>
                <c:pt idx="16">
                  <c:v>Ibadan</c:v>
                </c:pt>
                <c:pt idx="17">
                  <c:v>Gusau</c:v>
                </c:pt>
                <c:pt idx="18">
                  <c:v>Gombe</c:v>
                </c:pt>
                <c:pt idx="19">
                  <c:v>Enugu</c:v>
                </c:pt>
                <c:pt idx="20">
                  <c:v>Dutse</c:v>
                </c:pt>
                <c:pt idx="21">
                  <c:v>Calabar</c:v>
                </c:pt>
                <c:pt idx="22">
                  <c:v>Birnin Kebbi</c:v>
                </c:pt>
                <c:pt idx="23">
                  <c:v>Benin</c:v>
                </c:pt>
                <c:pt idx="24">
                  <c:v>Bauchi</c:v>
                </c:pt>
                <c:pt idx="25">
                  <c:v>Asaba</c:v>
                </c:pt>
                <c:pt idx="26">
                  <c:v>Akure</c:v>
                </c:pt>
                <c:pt idx="27">
                  <c:v>Abuja</c:v>
                </c:pt>
              </c:strCache>
            </c:strRef>
          </c:cat>
          <c:val>
            <c:numRef>
              <c:f>'pivot table 2'!$C$5:$C$33</c:f>
              <c:numCache>
                <c:formatCode>General</c:formatCode>
                <c:ptCount val="28"/>
                <c:pt idx="0">
                  <c:v>2170</c:v>
                </c:pt>
                <c:pt idx="1">
                  <c:v>599</c:v>
                </c:pt>
                <c:pt idx="2">
                  <c:v>170</c:v>
                </c:pt>
                <c:pt idx="3">
                  <c:v>1010</c:v>
                </c:pt>
                <c:pt idx="4">
                  <c:v>87</c:v>
                </c:pt>
                <c:pt idx="5">
                  <c:v>242</c:v>
                </c:pt>
                <c:pt idx="6">
                  <c:v>834</c:v>
                </c:pt>
                <c:pt idx="7">
                  <c:v>371</c:v>
                </c:pt>
                <c:pt idx="8">
                  <c:v>1099</c:v>
                </c:pt>
                <c:pt idx="9">
                  <c:v>135</c:v>
                </c:pt>
                <c:pt idx="10">
                  <c:v>1562</c:v>
                </c:pt>
                <c:pt idx="11">
                  <c:v>2073</c:v>
                </c:pt>
                <c:pt idx="12">
                  <c:v>4232</c:v>
                </c:pt>
                <c:pt idx="13">
                  <c:v>685</c:v>
                </c:pt>
                <c:pt idx="14">
                  <c:v>373</c:v>
                </c:pt>
                <c:pt idx="15">
                  <c:v>1126</c:v>
                </c:pt>
                <c:pt idx="16">
                  <c:v>725</c:v>
                </c:pt>
                <c:pt idx="17">
                  <c:v>1520</c:v>
                </c:pt>
                <c:pt idx="18">
                  <c:v>1590</c:v>
                </c:pt>
                <c:pt idx="19">
                  <c:v>466</c:v>
                </c:pt>
                <c:pt idx="20">
                  <c:v>1365</c:v>
                </c:pt>
                <c:pt idx="21">
                  <c:v>210</c:v>
                </c:pt>
                <c:pt idx="22">
                  <c:v>775</c:v>
                </c:pt>
                <c:pt idx="23">
                  <c:v>258</c:v>
                </c:pt>
                <c:pt idx="24">
                  <c:v>1965</c:v>
                </c:pt>
                <c:pt idx="25">
                  <c:v>305</c:v>
                </c:pt>
                <c:pt idx="26">
                  <c:v>1100</c:v>
                </c:pt>
                <c:pt idx="27">
                  <c:v>1123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0-4A5A-A78C-71B6FF1F0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973808"/>
        <c:axId val="538974168"/>
      </c:lineChart>
      <c:catAx>
        <c:axId val="5389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4168"/>
        <c:crosses val="autoZero"/>
        <c:auto val="1"/>
        <c:lblAlgn val="ctr"/>
        <c:lblOffset val="100"/>
        <c:noMultiLvlLbl val="0"/>
      </c:catAx>
      <c:valAx>
        <c:axId val="53897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[openflights_airport_nigeria_analysis.xlsx]pivot table 3!PivotTable7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 3'!$B$4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'pivot table 3'!$A$5:$A$63</c:f>
              <c:multiLvlStrCache>
                <c:ptCount val="28"/>
                <c:lvl>
                  <c:pt idx="0">
                    <c:v>AKR</c:v>
                  </c:pt>
                  <c:pt idx="1">
                    <c:v>BNI</c:v>
                  </c:pt>
                  <c:pt idx="2">
                    <c:v>\N</c:v>
                  </c:pt>
                  <c:pt idx="3">
                    <c:v>IBA</c:v>
                  </c:pt>
                  <c:pt idx="4">
                    <c:v>\N</c:v>
                  </c:pt>
                  <c:pt idx="5">
                    <c:v>JOS</c:v>
                  </c:pt>
                  <c:pt idx="6">
                    <c:v>KAD</c:v>
                  </c:pt>
                  <c:pt idx="7">
                    <c:v>MDI</c:v>
                  </c:pt>
                  <c:pt idx="8">
                    <c:v>MXJ</c:v>
                  </c:pt>
                  <c:pt idx="9">
                    <c:v>QRW</c:v>
                  </c:pt>
                  <c:pt idx="10">
                    <c:v>YOL</c:v>
                  </c:pt>
                  <c:pt idx="11">
                    <c:v>ZAR</c:v>
                  </c:pt>
                  <c:pt idx="12">
                    <c:v>ABV</c:v>
                  </c:pt>
                  <c:pt idx="13">
                    <c:v>ABB</c:v>
                  </c:pt>
                  <c:pt idx="14">
                    <c:v>BCU</c:v>
                  </c:pt>
                  <c:pt idx="15">
                    <c:v>\N</c:v>
                  </c:pt>
                  <c:pt idx="16">
                    <c:v>CBQ</c:v>
                  </c:pt>
                  <c:pt idx="17">
                    <c:v>\N</c:v>
                  </c:pt>
                  <c:pt idx="18">
                    <c:v>ENU</c:v>
                  </c:pt>
                  <c:pt idx="19">
                    <c:v>GMO</c:v>
                  </c:pt>
                  <c:pt idx="20">
                    <c:v>ILR</c:v>
                  </c:pt>
                  <c:pt idx="21">
                    <c:v>QOW</c:v>
                  </c:pt>
                  <c:pt idx="22">
                    <c:v>KAN</c:v>
                  </c:pt>
                  <c:pt idx="23">
                    <c:v>LOS</c:v>
                  </c:pt>
                  <c:pt idx="24">
                    <c:v>MIU</c:v>
                  </c:pt>
                  <c:pt idx="25">
                    <c:v>PHC</c:v>
                  </c:pt>
                  <c:pt idx="26">
                    <c:v>SKO</c:v>
                  </c:pt>
                  <c:pt idx="27">
                    <c:v>QUO</c:v>
                  </c:pt>
                </c:lvl>
                <c:lvl>
                  <c:pt idx="0">
                    <c:v>Akure</c:v>
                  </c:pt>
                  <c:pt idx="1">
                    <c:v>Benin</c:v>
                  </c:pt>
                  <c:pt idx="2">
                    <c:v>Gusau</c:v>
                  </c:pt>
                  <c:pt idx="3">
                    <c:v>Ibadan</c:v>
                  </c:pt>
                  <c:pt idx="4">
                    <c:v>Jalingo</c:v>
                  </c:pt>
                  <c:pt idx="5">
                    <c:v>Jos</c:v>
                  </c:pt>
                  <c:pt idx="6">
                    <c:v>Kaduna</c:v>
                  </c:pt>
                  <c:pt idx="7">
                    <c:v>Makurdi</c:v>
                  </c:pt>
                  <c:pt idx="8">
                    <c:v>Minna</c:v>
                  </c:pt>
                  <c:pt idx="9">
                    <c:v>Osubi</c:v>
                  </c:pt>
                  <c:pt idx="10">
                    <c:v>Yola</c:v>
                  </c:pt>
                  <c:pt idx="11">
                    <c:v>Zaria</c:v>
                  </c:pt>
                  <c:pt idx="12">
                    <c:v>Abuja</c:v>
                  </c:pt>
                  <c:pt idx="13">
                    <c:v>Asaba</c:v>
                  </c:pt>
                  <c:pt idx="14">
                    <c:v>Bauchi</c:v>
                  </c:pt>
                  <c:pt idx="15">
                    <c:v>Birnin Kebbi</c:v>
                  </c:pt>
                  <c:pt idx="16">
                    <c:v>Calabar</c:v>
                  </c:pt>
                  <c:pt idx="17">
                    <c:v>Dutse</c:v>
                  </c:pt>
                  <c:pt idx="18">
                    <c:v>Enugu</c:v>
                  </c:pt>
                  <c:pt idx="19">
                    <c:v>Gombe</c:v>
                  </c:pt>
                  <c:pt idx="20">
                    <c:v>Ilorin</c:v>
                  </c:pt>
                  <c:pt idx="21">
                    <c:v>Imo</c:v>
                  </c:pt>
                  <c:pt idx="22">
                    <c:v>Kano</c:v>
                  </c:pt>
                  <c:pt idx="23">
                    <c:v>Lagos</c:v>
                  </c:pt>
                  <c:pt idx="24">
                    <c:v>Maiduguri</c:v>
                  </c:pt>
                  <c:pt idx="25">
                    <c:v>Port Hartcourt</c:v>
                  </c:pt>
                  <c:pt idx="26">
                    <c:v>Sokoto</c:v>
                  </c:pt>
                  <c:pt idx="27">
                    <c:v>Uyo</c:v>
                  </c:pt>
                </c:lvl>
                <c:lvl>
                  <c:pt idx="0">
                    <c:v>Domestic</c:v>
                  </c:pt>
                  <c:pt idx="12">
                    <c:v>International</c:v>
                  </c:pt>
                </c:lvl>
              </c:multiLvlStrCache>
            </c:multiLvlStrRef>
          </c:cat>
          <c:val>
            <c:numRef>
              <c:f>'pivot table 3'!$B$5:$B$63</c:f>
              <c:numCache>
                <c:formatCode>0.00%</c:formatCode>
                <c:ptCount val="28"/>
                <c:pt idx="0">
                  <c:v>3.5714285714285712E-2</c:v>
                </c:pt>
                <c:pt idx="1">
                  <c:v>3.5714285714285712E-2</c:v>
                </c:pt>
                <c:pt idx="2">
                  <c:v>3.5714285714285712E-2</c:v>
                </c:pt>
                <c:pt idx="3">
                  <c:v>3.5714285714285712E-2</c:v>
                </c:pt>
                <c:pt idx="4">
                  <c:v>3.5714285714285712E-2</c:v>
                </c:pt>
                <c:pt idx="5">
                  <c:v>3.5714285714285712E-2</c:v>
                </c:pt>
                <c:pt idx="6">
                  <c:v>3.5714285714285712E-2</c:v>
                </c:pt>
                <c:pt idx="7">
                  <c:v>3.5714285714285712E-2</c:v>
                </c:pt>
                <c:pt idx="8">
                  <c:v>3.5714285714285712E-2</c:v>
                </c:pt>
                <c:pt idx="9">
                  <c:v>3.5714285714285712E-2</c:v>
                </c:pt>
                <c:pt idx="10">
                  <c:v>3.5714285714285712E-2</c:v>
                </c:pt>
                <c:pt idx="11">
                  <c:v>3.5714285714285712E-2</c:v>
                </c:pt>
                <c:pt idx="12">
                  <c:v>3.5714285714285712E-2</c:v>
                </c:pt>
                <c:pt idx="13">
                  <c:v>3.5714285714285712E-2</c:v>
                </c:pt>
                <c:pt idx="14">
                  <c:v>3.5714285714285712E-2</c:v>
                </c:pt>
                <c:pt idx="15">
                  <c:v>3.5714285714285712E-2</c:v>
                </c:pt>
                <c:pt idx="16">
                  <c:v>3.5714285714285712E-2</c:v>
                </c:pt>
                <c:pt idx="17">
                  <c:v>3.5714285714285712E-2</c:v>
                </c:pt>
                <c:pt idx="18">
                  <c:v>3.5714285714285712E-2</c:v>
                </c:pt>
                <c:pt idx="19">
                  <c:v>3.5714285714285712E-2</c:v>
                </c:pt>
                <c:pt idx="20">
                  <c:v>3.5714285714285712E-2</c:v>
                </c:pt>
                <c:pt idx="21">
                  <c:v>3.5714285714285712E-2</c:v>
                </c:pt>
                <c:pt idx="22">
                  <c:v>3.5714285714285712E-2</c:v>
                </c:pt>
                <c:pt idx="23">
                  <c:v>3.5714285714285712E-2</c:v>
                </c:pt>
                <c:pt idx="24">
                  <c:v>3.5714285714285712E-2</c:v>
                </c:pt>
                <c:pt idx="25">
                  <c:v>3.5714285714285712E-2</c:v>
                </c:pt>
                <c:pt idx="26">
                  <c:v>3.5714285714285712E-2</c:v>
                </c:pt>
                <c:pt idx="27">
                  <c:v>3.5714285714285712E-2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9-4F83-AC37-9F0236C25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10498687664043"/>
          <c:y val="0.34114829396325452"/>
          <c:w val="0.32822834645669291"/>
          <c:h val="0.40145341207349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[openflights_airport_nigeria_analysis.xlsx]pivot table 5!PivotTable9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5'!$B$4</c:f>
              <c:strCache>
                <c:ptCount val="1"/>
                <c:pt idx="0">
                  <c:v>Average of Effieciency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 5'!$A$5:$A$61</c:f>
              <c:multiLvlStrCache>
                <c:ptCount val="28"/>
                <c:lvl>
                  <c:pt idx="0">
                    <c:v>Domestic</c:v>
                  </c:pt>
                  <c:pt idx="1">
                    <c:v>Domestic</c:v>
                  </c:pt>
                  <c:pt idx="2">
                    <c:v>International</c:v>
                  </c:pt>
                  <c:pt idx="3">
                    <c:v>International</c:v>
                  </c:pt>
                  <c:pt idx="4">
                    <c:v>International</c:v>
                  </c:pt>
                  <c:pt idx="5">
                    <c:v>Domestic</c:v>
                  </c:pt>
                  <c:pt idx="6">
                    <c:v>Domestic</c:v>
                  </c:pt>
                  <c:pt idx="7">
                    <c:v>Domestic</c:v>
                  </c:pt>
                  <c:pt idx="8">
                    <c:v>International</c:v>
                  </c:pt>
                  <c:pt idx="9">
                    <c:v>International</c:v>
                  </c:pt>
                  <c:pt idx="10">
                    <c:v>International</c:v>
                  </c:pt>
                  <c:pt idx="11">
                    <c:v>Domestic</c:v>
                  </c:pt>
                  <c:pt idx="12">
                    <c:v>Domestic</c:v>
                  </c:pt>
                  <c:pt idx="13">
                    <c:v>Domestic</c:v>
                  </c:pt>
                  <c:pt idx="14">
                    <c:v>International</c:v>
                  </c:pt>
                  <c:pt idx="15">
                    <c:v>International</c:v>
                  </c:pt>
                  <c:pt idx="16">
                    <c:v>Domestic</c:v>
                  </c:pt>
                  <c:pt idx="17">
                    <c:v>Domestic</c:v>
                  </c:pt>
                  <c:pt idx="18">
                    <c:v>International</c:v>
                  </c:pt>
                  <c:pt idx="19">
                    <c:v>International</c:v>
                  </c:pt>
                  <c:pt idx="20">
                    <c:v>International</c:v>
                  </c:pt>
                  <c:pt idx="21">
                    <c:v>International</c:v>
                  </c:pt>
                  <c:pt idx="22">
                    <c:v>International</c:v>
                  </c:pt>
                  <c:pt idx="23">
                    <c:v>Domestic</c:v>
                  </c:pt>
                  <c:pt idx="24">
                    <c:v>International</c:v>
                  </c:pt>
                  <c:pt idx="25">
                    <c:v>International</c:v>
                  </c:pt>
                  <c:pt idx="26">
                    <c:v>Domestic</c:v>
                  </c:pt>
                  <c:pt idx="27">
                    <c:v>International</c:v>
                  </c:pt>
                </c:lvl>
                <c:lvl>
                  <c:pt idx="0">
                    <c:v>Zaria</c:v>
                  </c:pt>
                  <c:pt idx="1">
                    <c:v>Yola</c:v>
                  </c:pt>
                  <c:pt idx="2">
                    <c:v>Uyo</c:v>
                  </c:pt>
                  <c:pt idx="3">
                    <c:v>Sokoto</c:v>
                  </c:pt>
                  <c:pt idx="4">
                    <c:v>Port Hartcourt</c:v>
                  </c:pt>
                  <c:pt idx="5">
                    <c:v>Osubi</c:v>
                  </c:pt>
                  <c:pt idx="6">
                    <c:v>Minna</c:v>
                  </c:pt>
                  <c:pt idx="7">
                    <c:v>Makurdi</c:v>
                  </c:pt>
                  <c:pt idx="8">
                    <c:v>Maiduguri</c:v>
                  </c:pt>
                  <c:pt idx="9">
                    <c:v>Lagos</c:v>
                  </c:pt>
                  <c:pt idx="10">
                    <c:v>Kano</c:v>
                  </c:pt>
                  <c:pt idx="11">
                    <c:v>Kaduna</c:v>
                  </c:pt>
                  <c:pt idx="12">
                    <c:v>Jos</c:v>
                  </c:pt>
                  <c:pt idx="13">
                    <c:v>Jalingo</c:v>
                  </c:pt>
                  <c:pt idx="14">
                    <c:v>Imo</c:v>
                  </c:pt>
                  <c:pt idx="15">
                    <c:v>Ilorin</c:v>
                  </c:pt>
                  <c:pt idx="16">
                    <c:v>Ibadan</c:v>
                  </c:pt>
                  <c:pt idx="17">
                    <c:v>Gusau</c:v>
                  </c:pt>
                  <c:pt idx="18">
                    <c:v>Gombe</c:v>
                  </c:pt>
                  <c:pt idx="19">
                    <c:v>Enugu</c:v>
                  </c:pt>
                  <c:pt idx="20">
                    <c:v>Dutse</c:v>
                  </c:pt>
                  <c:pt idx="21">
                    <c:v>Calabar</c:v>
                  </c:pt>
                  <c:pt idx="22">
                    <c:v>Birnin Kebbi</c:v>
                  </c:pt>
                  <c:pt idx="23">
                    <c:v>Benin</c:v>
                  </c:pt>
                  <c:pt idx="24">
                    <c:v>Bauchi</c:v>
                  </c:pt>
                  <c:pt idx="25">
                    <c:v>Asaba</c:v>
                  </c:pt>
                  <c:pt idx="26">
                    <c:v>Akure</c:v>
                  </c:pt>
                  <c:pt idx="27">
                    <c:v>Abuja</c:v>
                  </c:pt>
                </c:lvl>
              </c:multiLvlStrCache>
            </c:multiLvlStrRef>
          </c:cat>
          <c:val>
            <c:numRef>
              <c:f>'pivot table 5'!$B$5:$B$61</c:f>
              <c:numCache>
                <c:formatCode>General</c:formatCode>
                <c:ptCount val="28"/>
                <c:pt idx="0">
                  <c:v>75</c:v>
                </c:pt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75</c:v>
                </c:pt>
                <c:pt idx="9">
                  <c:v>100</c:v>
                </c:pt>
                <c:pt idx="10">
                  <c:v>75</c:v>
                </c:pt>
                <c:pt idx="11">
                  <c:v>75</c:v>
                </c:pt>
                <c:pt idx="12">
                  <c:v>50</c:v>
                </c:pt>
                <c:pt idx="13">
                  <c:v>100</c:v>
                </c:pt>
                <c:pt idx="14">
                  <c:v>100</c:v>
                </c:pt>
                <c:pt idx="15">
                  <c:v>75</c:v>
                </c:pt>
                <c:pt idx="16">
                  <c:v>100</c:v>
                </c:pt>
                <c:pt idx="17">
                  <c:v>75</c:v>
                </c:pt>
                <c:pt idx="18">
                  <c:v>75</c:v>
                </c:pt>
                <c:pt idx="19">
                  <c:v>100</c:v>
                </c:pt>
                <c:pt idx="20">
                  <c:v>75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75</c:v>
                </c:pt>
                <c:pt idx="25">
                  <c:v>100</c:v>
                </c:pt>
                <c:pt idx="26">
                  <c:v>75</c:v>
                </c:pt>
                <c:pt idx="2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E-449C-AD9B-0F1DD34704C8}"/>
            </c:ext>
          </c:extLst>
        </c:ser>
        <c:ser>
          <c:idx val="1"/>
          <c:order val="1"/>
          <c:tx>
            <c:strRef>
              <c:f>'pivot table 5'!$C$4</c:f>
              <c:strCache>
                <c:ptCount val="1"/>
                <c:pt idx="0">
                  <c:v>Average of Altitude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 5'!$A$5:$A$61</c:f>
              <c:multiLvlStrCache>
                <c:ptCount val="28"/>
                <c:lvl>
                  <c:pt idx="0">
                    <c:v>Domestic</c:v>
                  </c:pt>
                  <c:pt idx="1">
                    <c:v>Domestic</c:v>
                  </c:pt>
                  <c:pt idx="2">
                    <c:v>International</c:v>
                  </c:pt>
                  <c:pt idx="3">
                    <c:v>International</c:v>
                  </c:pt>
                  <c:pt idx="4">
                    <c:v>International</c:v>
                  </c:pt>
                  <c:pt idx="5">
                    <c:v>Domestic</c:v>
                  </c:pt>
                  <c:pt idx="6">
                    <c:v>Domestic</c:v>
                  </c:pt>
                  <c:pt idx="7">
                    <c:v>Domestic</c:v>
                  </c:pt>
                  <c:pt idx="8">
                    <c:v>International</c:v>
                  </c:pt>
                  <c:pt idx="9">
                    <c:v>International</c:v>
                  </c:pt>
                  <c:pt idx="10">
                    <c:v>International</c:v>
                  </c:pt>
                  <c:pt idx="11">
                    <c:v>Domestic</c:v>
                  </c:pt>
                  <c:pt idx="12">
                    <c:v>Domestic</c:v>
                  </c:pt>
                  <c:pt idx="13">
                    <c:v>Domestic</c:v>
                  </c:pt>
                  <c:pt idx="14">
                    <c:v>International</c:v>
                  </c:pt>
                  <c:pt idx="15">
                    <c:v>International</c:v>
                  </c:pt>
                  <c:pt idx="16">
                    <c:v>Domestic</c:v>
                  </c:pt>
                  <c:pt idx="17">
                    <c:v>Domestic</c:v>
                  </c:pt>
                  <c:pt idx="18">
                    <c:v>International</c:v>
                  </c:pt>
                  <c:pt idx="19">
                    <c:v>International</c:v>
                  </c:pt>
                  <c:pt idx="20">
                    <c:v>International</c:v>
                  </c:pt>
                  <c:pt idx="21">
                    <c:v>International</c:v>
                  </c:pt>
                  <c:pt idx="22">
                    <c:v>International</c:v>
                  </c:pt>
                  <c:pt idx="23">
                    <c:v>Domestic</c:v>
                  </c:pt>
                  <c:pt idx="24">
                    <c:v>International</c:v>
                  </c:pt>
                  <c:pt idx="25">
                    <c:v>International</c:v>
                  </c:pt>
                  <c:pt idx="26">
                    <c:v>Domestic</c:v>
                  </c:pt>
                  <c:pt idx="27">
                    <c:v>International</c:v>
                  </c:pt>
                </c:lvl>
                <c:lvl>
                  <c:pt idx="0">
                    <c:v>Zaria</c:v>
                  </c:pt>
                  <c:pt idx="1">
                    <c:v>Yola</c:v>
                  </c:pt>
                  <c:pt idx="2">
                    <c:v>Uyo</c:v>
                  </c:pt>
                  <c:pt idx="3">
                    <c:v>Sokoto</c:v>
                  </c:pt>
                  <c:pt idx="4">
                    <c:v>Port Hartcourt</c:v>
                  </c:pt>
                  <c:pt idx="5">
                    <c:v>Osubi</c:v>
                  </c:pt>
                  <c:pt idx="6">
                    <c:v>Minna</c:v>
                  </c:pt>
                  <c:pt idx="7">
                    <c:v>Makurdi</c:v>
                  </c:pt>
                  <c:pt idx="8">
                    <c:v>Maiduguri</c:v>
                  </c:pt>
                  <c:pt idx="9">
                    <c:v>Lagos</c:v>
                  </c:pt>
                  <c:pt idx="10">
                    <c:v>Kano</c:v>
                  </c:pt>
                  <c:pt idx="11">
                    <c:v>Kaduna</c:v>
                  </c:pt>
                  <c:pt idx="12">
                    <c:v>Jos</c:v>
                  </c:pt>
                  <c:pt idx="13">
                    <c:v>Jalingo</c:v>
                  </c:pt>
                  <c:pt idx="14">
                    <c:v>Imo</c:v>
                  </c:pt>
                  <c:pt idx="15">
                    <c:v>Ilorin</c:v>
                  </c:pt>
                  <c:pt idx="16">
                    <c:v>Ibadan</c:v>
                  </c:pt>
                  <c:pt idx="17">
                    <c:v>Gusau</c:v>
                  </c:pt>
                  <c:pt idx="18">
                    <c:v>Gombe</c:v>
                  </c:pt>
                  <c:pt idx="19">
                    <c:v>Enugu</c:v>
                  </c:pt>
                  <c:pt idx="20">
                    <c:v>Dutse</c:v>
                  </c:pt>
                  <c:pt idx="21">
                    <c:v>Calabar</c:v>
                  </c:pt>
                  <c:pt idx="22">
                    <c:v>Birnin Kebbi</c:v>
                  </c:pt>
                  <c:pt idx="23">
                    <c:v>Benin</c:v>
                  </c:pt>
                  <c:pt idx="24">
                    <c:v>Bauchi</c:v>
                  </c:pt>
                  <c:pt idx="25">
                    <c:v>Asaba</c:v>
                  </c:pt>
                  <c:pt idx="26">
                    <c:v>Akure</c:v>
                  </c:pt>
                  <c:pt idx="27">
                    <c:v>Abuja</c:v>
                  </c:pt>
                </c:lvl>
              </c:multiLvlStrCache>
            </c:multiLvlStrRef>
          </c:cat>
          <c:val>
            <c:numRef>
              <c:f>'pivot table 5'!$C$5:$C$61</c:f>
              <c:numCache>
                <c:formatCode>General</c:formatCode>
                <c:ptCount val="28"/>
                <c:pt idx="0">
                  <c:v>2170</c:v>
                </c:pt>
                <c:pt idx="1">
                  <c:v>599</c:v>
                </c:pt>
                <c:pt idx="2">
                  <c:v>170</c:v>
                </c:pt>
                <c:pt idx="3">
                  <c:v>1010</c:v>
                </c:pt>
                <c:pt idx="4">
                  <c:v>87</c:v>
                </c:pt>
                <c:pt idx="5">
                  <c:v>242</c:v>
                </c:pt>
                <c:pt idx="6">
                  <c:v>834</c:v>
                </c:pt>
                <c:pt idx="7">
                  <c:v>371</c:v>
                </c:pt>
                <c:pt idx="8">
                  <c:v>1099</c:v>
                </c:pt>
                <c:pt idx="9">
                  <c:v>135</c:v>
                </c:pt>
                <c:pt idx="10">
                  <c:v>1562</c:v>
                </c:pt>
                <c:pt idx="11">
                  <c:v>2073</c:v>
                </c:pt>
                <c:pt idx="12">
                  <c:v>4232</c:v>
                </c:pt>
                <c:pt idx="13">
                  <c:v>685</c:v>
                </c:pt>
                <c:pt idx="14">
                  <c:v>373</c:v>
                </c:pt>
                <c:pt idx="15">
                  <c:v>1126</c:v>
                </c:pt>
                <c:pt idx="16">
                  <c:v>725</c:v>
                </c:pt>
                <c:pt idx="17">
                  <c:v>1520</c:v>
                </c:pt>
                <c:pt idx="18">
                  <c:v>1590</c:v>
                </c:pt>
                <c:pt idx="19">
                  <c:v>466</c:v>
                </c:pt>
                <c:pt idx="20">
                  <c:v>1365</c:v>
                </c:pt>
                <c:pt idx="21">
                  <c:v>210</c:v>
                </c:pt>
                <c:pt idx="22">
                  <c:v>775</c:v>
                </c:pt>
                <c:pt idx="23">
                  <c:v>258</c:v>
                </c:pt>
                <c:pt idx="24">
                  <c:v>1965</c:v>
                </c:pt>
                <c:pt idx="25">
                  <c:v>305</c:v>
                </c:pt>
                <c:pt idx="26">
                  <c:v>1100</c:v>
                </c:pt>
                <c:pt idx="27">
                  <c:v>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E-449C-AD9B-0F1DD3470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858504"/>
        <c:axId val="368853104"/>
      </c:barChart>
      <c:catAx>
        <c:axId val="36885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53104"/>
        <c:crosses val="autoZero"/>
        <c:auto val="1"/>
        <c:lblAlgn val="ctr"/>
        <c:lblOffset val="100"/>
        <c:noMultiLvlLbl val="0"/>
      </c:catAx>
      <c:valAx>
        <c:axId val="3688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5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[openflights_airport_nigeria_analysis.xlsx]pivot table 1!PivotTable5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1'!$A$5:$A$33</c:f>
              <c:strCache>
                <c:ptCount val="28"/>
                <c:pt idx="0">
                  <c:v>Zaria</c:v>
                </c:pt>
                <c:pt idx="1">
                  <c:v>Yola</c:v>
                </c:pt>
                <c:pt idx="2">
                  <c:v>Uyo</c:v>
                </c:pt>
                <c:pt idx="3">
                  <c:v>Sokoto</c:v>
                </c:pt>
                <c:pt idx="4">
                  <c:v>Port Hartcourt</c:v>
                </c:pt>
                <c:pt idx="5">
                  <c:v>Osubi</c:v>
                </c:pt>
                <c:pt idx="6">
                  <c:v>Minna</c:v>
                </c:pt>
                <c:pt idx="7">
                  <c:v>Makurdi</c:v>
                </c:pt>
                <c:pt idx="8">
                  <c:v>Maiduguri</c:v>
                </c:pt>
                <c:pt idx="9">
                  <c:v>Lagos</c:v>
                </c:pt>
                <c:pt idx="10">
                  <c:v>Kano</c:v>
                </c:pt>
                <c:pt idx="11">
                  <c:v>Kaduna</c:v>
                </c:pt>
                <c:pt idx="12">
                  <c:v>Jos</c:v>
                </c:pt>
                <c:pt idx="13">
                  <c:v>Jalingo</c:v>
                </c:pt>
                <c:pt idx="14">
                  <c:v>Imo</c:v>
                </c:pt>
                <c:pt idx="15">
                  <c:v>Ilorin</c:v>
                </c:pt>
                <c:pt idx="16">
                  <c:v>Ibadan</c:v>
                </c:pt>
                <c:pt idx="17">
                  <c:v>Gusau</c:v>
                </c:pt>
                <c:pt idx="18">
                  <c:v>Gombe</c:v>
                </c:pt>
                <c:pt idx="19">
                  <c:v>Enugu</c:v>
                </c:pt>
                <c:pt idx="20">
                  <c:v>Dutse</c:v>
                </c:pt>
                <c:pt idx="21">
                  <c:v>Calabar</c:v>
                </c:pt>
                <c:pt idx="22">
                  <c:v>Birnin Kebbi</c:v>
                </c:pt>
                <c:pt idx="23">
                  <c:v>Benin</c:v>
                </c:pt>
                <c:pt idx="24">
                  <c:v>Bauchi</c:v>
                </c:pt>
                <c:pt idx="25">
                  <c:v>Asaba</c:v>
                </c:pt>
                <c:pt idx="26">
                  <c:v>Akure</c:v>
                </c:pt>
                <c:pt idx="27">
                  <c:v>Abuja</c:v>
                </c:pt>
              </c:strCache>
            </c:strRef>
          </c:cat>
          <c:val>
            <c:numRef>
              <c:f>'pivot table 1'!$B$5:$B$33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7-4D70-B457-DB96839C2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971648"/>
        <c:axId val="538970208"/>
      </c:barChart>
      <c:catAx>
        <c:axId val="53897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0208"/>
        <c:crosses val="autoZero"/>
        <c:auto val="1"/>
        <c:lblAlgn val="ctr"/>
        <c:lblOffset val="100"/>
        <c:noMultiLvlLbl val="0"/>
      </c:catAx>
      <c:valAx>
        <c:axId val="53897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[openflights_airport_nigeria_analysis.xlsx]pivot table 2!PivotTable6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2'!$B$4</c:f>
              <c:strCache>
                <c:ptCount val="1"/>
                <c:pt idx="0">
                  <c:v>Average Height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2'!$A$5:$A$33</c:f>
              <c:strCache>
                <c:ptCount val="28"/>
                <c:pt idx="0">
                  <c:v>Zaria</c:v>
                </c:pt>
                <c:pt idx="1">
                  <c:v>Yola</c:v>
                </c:pt>
                <c:pt idx="2">
                  <c:v>Uyo</c:v>
                </c:pt>
                <c:pt idx="3">
                  <c:v>Sokoto</c:v>
                </c:pt>
                <c:pt idx="4">
                  <c:v>Port Hartcourt</c:v>
                </c:pt>
                <c:pt idx="5">
                  <c:v>Osubi</c:v>
                </c:pt>
                <c:pt idx="6">
                  <c:v>Minna</c:v>
                </c:pt>
                <c:pt idx="7">
                  <c:v>Makurdi</c:v>
                </c:pt>
                <c:pt idx="8">
                  <c:v>Maiduguri</c:v>
                </c:pt>
                <c:pt idx="9">
                  <c:v>Lagos</c:v>
                </c:pt>
                <c:pt idx="10">
                  <c:v>Kano</c:v>
                </c:pt>
                <c:pt idx="11">
                  <c:v>Kaduna</c:v>
                </c:pt>
                <c:pt idx="12">
                  <c:v>Jos</c:v>
                </c:pt>
                <c:pt idx="13">
                  <c:v>Jalingo</c:v>
                </c:pt>
                <c:pt idx="14">
                  <c:v>Imo</c:v>
                </c:pt>
                <c:pt idx="15">
                  <c:v>Ilorin</c:v>
                </c:pt>
                <c:pt idx="16">
                  <c:v>Ibadan</c:v>
                </c:pt>
                <c:pt idx="17">
                  <c:v>Gusau</c:v>
                </c:pt>
                <c:pt idx="18">
                  <c:v>Gombe</c:v>
                </c:pt>
                <c:pt idx="19">
                  <c:v>Enugu</c:v>
                </c:pt>
                <c:pt idx="20">
                  <c:v>Dutse</c:v>
                </c:pt>
                <c:pt idx="21">
                  <c:v>Calabar</c:v>
                </c:pt>
                <c:pt idx="22">
                  <c:v>Birnin Kebbi</c:v>
                </c:pt>
                <c:pt idx="23">
                  <c:v>Benin</c:v>
                </c:pt>
                <c:pt idx="24">
                  <c:v>Bauchi</c:v>
                </c:pt>
                <c:pt idx="25">
                  <c:v>Asaba</c:v>
                </c:pt>
                <c:pt idx="26">
                  <c:v>Akure</c:v>
                </c:pt>
                <c:pt idx="27">
                  <c:v>Abuja</c:v>
                </c:pt>
              </c:strCache>
            </c:strRef>
          </c:cat>
          <c:val>
            <c:numRef>
              <c:f>'pivot table 2'!$B$5:$B$33</c:f>
              <c:numCache>
                <c:formatCode>General</c:formatCode>
                <c:ptCount val="28"/>
                <c:pt idx="0">
                  <c:v>2170</c:v>
                </c:pt>
                <c:pt idx="1">
                  <c:v>599</c:v>
                </c:pt>
                <c:pt idx="2">
                  <c:v>170</c:v>
                </c:pt>
                <c:pt idx="3">
                  <c:v>1010</c:v>
                </c:pt>
                <c:pt idx="4">
                  <c:v>87</c:v>
                </c:pt>
                <c:pt idx="5">
                  <c:v>242</c:v>
                </c:pt>
                <c:pt idx="6">
                  <c:v>834</c:v>
                </c:pt>
                <c:pt idx="7">
                  <c:v>371</c:v>
                </c:pt>
                <c:pt idx="8">
                  <c:v>1099</c:v>
                </c:pt>
                <c:pt idx="9">
                  <c:v>135</c:v>
                </c:pt>
                <c:pt idx="10">
                  <c:v>1562</c:v>
                </c:pt>
                <c:pt idx="11">
                  <c:v>2073</c:v>
                </c:pt>
                <c:pt idx="12">
                  <c:v>4232</c:v>
                </c:pt>
                <c:pt idx="13">
                  <c:v>685</c:v>
                </c:pt>
                <c:pt idx="14">
                  <c:v>373</c:v>
                </c:pt>
                <c:pt idx="15">
                  <c:v>1126</c:v>
                </c:pt>
                <c:pt idx="16">
                  <c:v>725</c:v>
                </c:pt>
                <c:pt idx="17">
                  <c:v>1520</c:v>
                </c:pt>
                <c:pt idx="18">
                  <c:v>1590</c:v>
                </c:pt>
                <c:pt idx="19">
                  <c:v>466</c:v>
                </c:pt>
                <c:pt idx="20">
                  <c:v>1365</c:v>
                </c:pt>
                <c:pt idx="21">
                  <c:v>210</c:v>
                </c:pt>
                <c:pt idx="22">
                  <c:v>775</c:v>
                </c:pt>
                <c:pt idx="23">
                  <c:v>258</c:v>
                </c:pt>
                <c:pt idx="24">
                  <c:v>1965</c:v>
                </c:pt>
                <c:pt idx="25">
                  <c:v>305</c:v>
                </c:pt>
                <c:pt idx="26">
                  <c:v>1100</c:v>
                </c:pt>
                <c:pt idx="27">
                  <c:v>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1-48D5-B5CE-FFDCBDE64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973808"/>
        <c:axId val="538974168"/>
      </c:barChart>
      <c:lineChart>
        <c:grouping val="standard"/>
        <c:varyColors val="0"/>
        <c:ser>
          <c:idx val="1"/>
          <c:order val="1"/>
          <c:tx>
            <c:strRef>
              <c:f>'pivot table 2'!$C$4</c:f>
              <c:strCache>
                <c:ptCount val="1"/>
                <c:pt idx="0">
                  <c:v>Highest Point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2'!$A$5:$A$33</c:f>
              <c:strCache>
                <c:ptCount val="28"/>
                <c:pt idx="0">
                  <c:v>Zaria</c:v>
                </c:pt>
                <c:pt idx="1">
                  <c:v>Yola</c:v>
                </c:pt>
                <c:pt idx="2">
                  <c:v>Uyo</c:v>
                </c:pt>
                <c:pt idx="3">
                  <c:v>Sokoto</c:v>
                </c:pt>
                <c:pt idx="4">
                  <c:v>Port Hartcourt</c:v>
                </c:pt>
                <c:pt idx="5">
                  <c:v>Osubi</c:v>
                </c:pt>
                <c:pt idx="6">
                  <c:v>Minna</c:v>
                </c:pt>
                <c:pt idx="7">
                  <c:v>Makurdi</c:v>
                </c:pt>
                <c:pt idx="8">
                  <c:v>Maiduguri</c:v>
                </c:pt>
                <c:pt idx="9">
                  <c:v>Lagos</c:v>
                </c:pt>
                <c:pt idx="10">
                  <c:v>Kano</c:v>
                </c:pt>
                <c:pt idx="11">
                  <c:v>Kaduna</c:v>
                </c:pt>
                <c:pt idx="12">
                  <c:v>Jos</c:v>
                </c:pt>
                <c:pt idx="13">
                  <c:v>Jalingo</c:v>
                </c:pt>
                <c:pt idx="14">
                  <c:v>Imo</c:v>
                </c:pt>
                <c:pt idx="15">
                  <c:v>Ilorin</c:v>
                </c:pt>
                <c:pt idx="16">
                  <c:v>Ibadan</c:v>
                </c:pt>
                <c:pt idx="17">
                  <c:v>Gusau</c:v>
                </c:pt>
                <c:pt idx="18">
                  <c:v>Gombe</c:v>
                </c:pt>
                <c:pt idx="19">
                  <c:v>Enugu</c:v>
                </c:pt>
                <c:pt idx="20">
                  <c:v>Dutse</c:v>
                </c:pt>
                <c:pt idx="21">
                  <c:v>Calabar</c:v>
                </c:pt>
                <c:pt idx="22">
                  <c:v>Birnin Kebbi</c:v>
                </c:pt>
                <c:pt idx="23">
                  <c:v>Benin</c:v>
                </c:pt>
                <c:pt idx="24">
                  <c:v>Bauchi</c:v>
                </c:pt>
                <c:pt idx="25">
                  <c:v>Asaba</c:v>
                </c:pt>
                <c:pt idx="26">
                  <c:v>Akure</c:v>
                </c:pt>
                <c:pt idx="27">
                  <c:v>Abuja</c:v>
                </c:pt>
              </c:strCache>
            </c:strRef>
          </c:cat>
          <c:val>
            <c:numRef>
              <c:f>'pivot table 2'!$C$5:$C$33</c:f>
              <c:numCache>
                <c:formatCode>General</c:formatCode>
                <c:ptCount val="28"/>
                <c:pt idx="0">
                  <c:v>2170</c:v>
                </c:pt>
                <c:pt idx="1">
                  <c:v>599</c:v>
                </c:pt>
                <c:pt idx="2">
                  <c:v>170</c:v>
                </c:pt>
                <c:pt idx="3">
                  <c:v>1010</c:v>
                </c:pt>
                <c:pt idx="4">
                  <c:v>87</c:v>
                </c:pt>
                <c:pt idx="5">
                  <c:v>242</c:v>
                </c:pt>
                <c:pt idx="6">
                  <c:v>834</c:v>
                </c:pt>
                <c:pt idx="7">
                  <c:v>371</c:v>
                </c:pt>
                <c:pt idx="8">
                  <c:v>1099</c:v>
                </c:pt>
                <c:pt idx="9">
                  <c:v>135</c:v>
                </c:pt>
                <c:pt idx="10">
                  <c:v>1562</c:v>
                </c:pt>
                <c:pt idx="11">
                  <c:v>2073</c:v>
                </c:pt>
                <c:pt idx="12">
                  <c:v>4232</c:v>
                </c:pt>
                <c:pt idx="13">
                  <c:v>685</c:v>
                </c:pt>
                <c:pt idx="14">
                  <c:v>373</c:v>
                </c:pt>
                <c:pt idx="15">
                  <c:v>1126</c:v>
                </c:pt>
                <c:pt idx="16">
                  <c:v>725</c:v>
                </c:pt>
                <c:pt idx="17">
                  <c:v>1520</c:v>
                </c:pt>
                <c:pt idx="18">
                  <c:v>1590</c:v>
                </c:pt>
                <c:pt idx="19">
                  <c:v>466</c:v>
                </c:pt>
                <c:pt idx="20">
                  <c:v>1365</c:v>
                </c:pt>
                <c:pt idx="21">
                  <c:v>210</c:v>
                </c:pt>
                <c:pt idx="22">
                  <c:v>775</c:v>
                </c:pt>
                <c:pt idx="23">
                  <c:v>258</c:v>
                </c:pt>
                <c:pt idx="24">
                  <c:v>1965</c:v>
                </c:pt>
                <c:pt idx="25">
                  <c:v>305</c:v>
                </c:pt>
                <c:pt idx="26">
                  <c:v>1100</c:v>
                </c:pt>
                <c:pt idx="27">
                  <c:v>1123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D1-48D5-B5CE-FFDCBDE64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973808"/>
        <c:axId val="538974168"/>
      </c:lineChart>
      <c:catAx>
        <c:axId val="5389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4168"/>
        <c:crosses val="autoZero"/>
        <c:auto val="1"/>
        <c:lblAlgn val="ctr"/>
        <c:lblOffset val="100"/>
        <c:noMultiLvlLbl val="0"/>
      </c:catAx>
      <c:valAx>
        <c:axId val="53897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[openflights_airport_nigeria_analysis.xlsx]pivot table 3!PivotTable7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 3'!$B$4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B4-4C81-AB8F-DA11BE9305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B4-4C81-AB8F-DA11BE9305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B4-4C81-AB8F-DA11BE9305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B4-4C81-AB8F-DA11BE9305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B4-4C81-AB8F-DA11BE9305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B4-4C81-AB8F-DA11BE9305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B4-4C81-AB8F-DA11BE9305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AB4-4C81-AB8F-DA11BE9305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AB4-4C81-AB8F-DA11BE9305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AB4-4C81-AB8F-DA11BE9305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AB4-4C81-AB8F-DA11BE9305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AB4-4C81-AB8F-DA11BE93052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AB4-4C81-AB8F-DA11BE93052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AB4-4C81-AB8F-DA11BE9305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AB4-4C81-AB8F-DA11BE93052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AB4-4C81-AB8F-DA11BE93052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AB4-4C81-AB8F-DA11BE93052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AB4-4C81-AB8F-DA11BE93052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AB4-4C81-AB8F-DA11BE93052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AB4-4C81-AB8F-DA11BE93052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AB4-4C81-AB8F-DA11BE93052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AB4-4C81-AB8F-DA11BE93052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AB4-4C81-AB8F-DA11BE93052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AB4-4C81-AB8F-DA11BE93052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AB4-4C81-AB8F-DA11BE93052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AB4-4C81-AB8F-DA11BE93052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AB4-4C81-AB8F-DA11BE93052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AB4-4C81-AB8F-DA11BE93052F}"/>
              </c:ext>
            </c:extLst>
          </c:dPt>
          <c:cat>
            <c:multiLvlStrRef>
              <c:f>'pivot table 3'!$A$5:$A$63</c:f>
              <c:multiLvlStrCache>
                <c:ptCount val="28"/>
                <c:lvl>
                  <c:pt idx="0">
                    <c:v>AKR</c:v>
                  </c:pt>
                  <c:pt idx="1">
                    <c:v>BNI</c:v>
                  </c:pt>
                  <c:pt idx="2">
                    <c:v>\N</c:v>
                  </c:pt>
                  <c:pt idx="3">
                    <c:v>IBA</c:v>
                  </c:pt>
                  <c:pt idx="4">
                    <c:v>\N</c:v>
                  </c:pt>
                  <c:pt idx="5">
                    <c:v>JOS</c:v>
                  </c:pt>
                  <c:pt idx="6">
                    <c:v>KAD</c:v>
                  </c:pt>
                  <c:pt idx="7">
                    <c:v>MDI</c:v>
                  </c:pt>
                  <c:pt idx="8">
                    <c:v>MXJ</c:v>
                  </c:pt>
                  <c:pt idx="9">
                    <c:v>QRW</c:v>
                  </c:pt>
                  <c:pt idx="10">
                    <c:v>YOL</c:v>
                  </c:pt>
                  <c:pt idx="11">
                    <c:v>ZAR</c:v>
                  </c:pt>
                  <c:pt idx="12">
                    <c:v>ABV</c:v>
                  </c:pt>
                  <c:pt idx="13">
                    <c:v>ABB</c:v>
                  </c:pt>
                  <c:pt idx="14">
                    <c:v>BCU</c:v>
                  </c:pt>
                  <c:pt idx="15">
                    <c:v>\N</c:v>
                  </c:pt>
                  <c:pt idx="16">
                    <c:v>CBQ</c:v>
                  </c:pt>
                  <c:pt idx="17">
                    <c:v>\N</c:v>
                  </c:pt>
                  <c:pt idx="18">
                    <c:v>ENU</c:v>
                  </c:pt>
                  <c:pt idx="19">
                    <c:v>GMO</c:v>
                  </c:pt>
                  <c:pt idx="20">
                    <c:v>ILR</c:v>
                  </c:pt>
                  <c:pt idx="21">
                    <c:v>QOW</c:v>
                  </c:pt>
                  <c:pt idx="22">
                    <c:v>KAN</c:v>
                  </c:pt>
                  <c:pt idx="23">
                    <c:v>LOS</c:v>
                  </c:pt>
                  <c:pt idx="24">
                    <c:v>MIU</c:v>
                  </c:pt>
                  <c:pt idx="25">
                    <c:v>PHC</c:v>
                  </c:pt>
                  <c:pt idx="26">
                    <c:v>SKO</c:v>
                  </c:pt>
                  <c:pt idx="27">
                    <c:v>QUO</c:v>
                  </c:pt>
                </c:lvl>
                <c:lvl>
                  <c:pt idx="0">
                    <c:v>Akure</c:v>
                  </c:pt>
                  <c:pt idx="1">
                    <c:v>Benin</c:v>
                  </c:pt>
                  <c:pt idx="2">
                    <c:v>Gusau</c:v>
                  </c:pt>
                  <c:pt idx="3">
                    <c:v>Ibadan</c:v>
                  </c:pt>
                  <c:pt idx="4">
                    <c:v>Jalingo</c:v>
                  </c:pt>
                  <c:pt idx="5">
                    <c:v>Jos</c:v>
                  </c:pt>
                  <c:pt idx="6">
                    <c:v>Kaduna</c:v>
                  </c:pt>
                  <c:pt idx="7">
                    <c:v>Makurdi</c:v>
                  </c:pt>
                  <c:pt idx="8">
                    <c:v>Minna</c:v>
                  </c:pt>
                  <c:pt idx="9">
                    <c:v>Osubi</c:v>
                  </c:pt>
                  <c:pt idx="10">
                    <c:v>Yola</c:v>
                  </c:pt>
                  <c:pt idx="11">
                    <c:v>Zaria</c:v>
                  </c:pt>
                  <c:pt idx="12">
                    <c:v>Abuja</c:v>
                  </c:pt>
                  <c:pt idx="13">
                    <c:v>Asaba</c:v>
                  </c:pt>
                  <c:pt idx="14">
                    <c:v>Bauchi</c:v>
                  </c:pt>
                  <c:pt idx="15">
                    <c:v>Birnin Kebbi</c:v>
                  </c:pt>
                  <c:pt idx="16">
                    <c:v>Calabar</c:v>
                  </c:pt>
                  <c:pt idx="17">
                    <c:v>Dutse</c:v>
                  </c:pt>
                  <c:pt idx="18">
                    <c:v>Enugu</c:v>
                  </c:pt>
                  <c:pt idx="19">
                    <c:v>Gombe</c:v>
                  </c:pt>
                  <c:pt idx="20">
                    <c:v>Ilorin</c:v>
                  </c:pt>
                  <c:pt idx="21">
                    <c:v>Imo</c:v>
                  </c:pt>
                  <c:pt idx="22">
                    <c:v>Kano</c:v>
                  </c:pt>
                  <c:pt idx="23">
                    <c:v>Lagos</c:v>
                  </c:pt>
                  <c:pt idx="24">
                    <c:v>Maiduguri</c:v>
                  </c:pt>
                  <c:pt idx="25">
                    <c:v>Port Hartcourt</c:v>
                  </c:pt>
                  <c:pt idx="26">
                    <c:v>Sokoto</c:v>
                  </c:pt>
                  <c:pt idx="27">
                    <c:v>Uyo</c:v>
                  </c:pt>
                </c:lvl>
                <c:lvl>
                  <c:pt idx="0">
                    <c:v>Domestic</c:v>
                  </c:pt>
                  <c:pt idx="12">
                    <c:v>International</c:v>
                  </c:pt>
                </c:lvl>
              </c:multiLvlStrCache>
            </c:multiLvlStrRef>
          </c:cat>
          <c:val>
            <c:numRef>
              <c:f>'pivot table 3'!$B$5:$B$63</c:f>
              <c:numCache>
                <c:formatCode>0.00%</c:formatCode>
                <c:ptCount val="28"/>
                <c:pt idx="0">
                  <c:v>3.5714285714285712E-2</c:v>
                </c:pt>
                <c:pt idx="1">
                  <c:v>3.5714285714285712E-2</c:v>
                </c:pt>
                <c:pt idx="2">
                  <c:v>3.5714285714285712E-2</c:v>
                </c:pt>
                <c:pt idx="3">
                  <c:v>3.5714285714285712E-2</c:v>
                </c:pt>
                <c:pt idx="4">
                  <c:v>3.5714285714285712E-2</c:v>
                </c:pt>
                <c:pt idx="5">
                  <c:v>3.5714285714285712E-2</c:v>
                </c:pt>
                <c:pt idx="6">
                  <c:v>3.5714285714285712E-2</c:v>
                </c:pt>
                <c:pt idx="7">
                  <c:v>3.5714285714285712E-2</c:v>
                </c:pt>
                <c:pt idx="8">
                  <c:v>3.5714285714285712E-2</c:v>
                </c:pt>
                <c:pt idx="9">
                  <c:v>3.5714285714285712E-2</c:v>
                </c:pt>
                <c:pt idx="10">
                  <c:v>3.5714285714285712E-2</c:v>
                </c:pt>
                <c:pt idx="11">
                  <c:v>3.5714285714285712E-2</c:v>
                </c:pt>
                <c:pt idx="12">
                  <c:v>3.5714285714285712E-2</c:v>
                </c:pt>
                <c:pt idx="13">
                  <c:v>3.5714285714285712E-2</c:v>
                </c:pt>
                <c:pt idx="14">
                  <c:v>3.5714285714285712E-2</c:v>
                </c:pt>
                <c:pt idx="15">
                  <c:v>3.5714285714285712E-2</c:v>
                </c:pt>
                <c:pt idx="16">
                  <c:v>3.5714285714285712E-2</c:v>
                </c:pt>
                <c:pt idx="17">
                  <c:v>3.5714285714285712E-2</c:v>
                </c:pt>
                <c:pt idx="18">
                  <c:v>3.5714285714285712E-2</c:v>
                </c:pt>
                <c:pt idx="19">
                  <c:v>3.5714285714285712E-2</c:v>
                </c:pt>
                <c:pt idx="20">
                  <c:v>3.5714285714285712E-2</c:v>
                </c:pt>
                <c:pt idx="21">
                  <c:v>3.5714285714285712E-2</c:v>
                </c:pt>
                <c:pt idx="22">
                  <c:v>3.5714285714285712E-2</c:v>
                </c:pt>
                <c:pt idx="23">
                  <c:v>3.5714285714285712E-2</c:v>
                </c:pt>
                <c:pt idx="24">
                  <c:v>3.5714285714285712E-2</c:v>
                </c:pt>
                <c:pt idx="25">
                  <c:v>3.5714285714285712E-2</c:v>
                </c:pt>
                <c:pt idx="26">
                  <c:v>3.5714285714285712E-2</c:v>
                </c:pt>
                <c:pt idx="27">
                  <c:v>3.5714285714285712E-2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AAB4-4C81-AB8F-DA11BE930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10498687664043"/>
          <c:y val="0.34114829396325452"/>
          <c:w val="0.32822834645669291"/>
          <c:h val="0.40145341207349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[openflights_airport_nigeria_analysis.xlsx]pivot table 5!PivotTable9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5'!$B$4</c:f>
              <c:strCache>
                <c:ptCount val="1"/>
                <c:pt idx="0">
                  <c:v>Average of Effieciency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 5'!$A$5:$A$61</c:f>
              <c:multiLvlStrCache>
                <c:ptCount val="28"/>
                <c:lvl>
                  <c:pt idx="0">
                    <c:v>Domestic</c:v>
                  </c:pt>
                  <c:pt idx="1">
                    <c:v>Domestic</c:v>
                  </c:pt>
                  <c:pt idx="2">
                    <c:v>International</c:v>
                  </c:pt>
                  <c:pt idx="3">
                    <c:v>International</c:v>
                  </c:pt>
                  <c:pt idx="4">
                    <c:v>International</c:v>
                  </c:pt>
                  <c:pt idx="5">
                    <c:v>Domestic</c:v>
                  </c:pt>
                  <c:pt idx="6">
                    <c:v>Domestic</c:v>
                  </c:pt>
                  <c:pt idx="7">
                    <c:v>Domestic</c:v>
                  </c:pt>
                  <c:pt idx="8">
                    <c:v>International</c:v>
                  </c:pt>
                  <c:pt idx="9">
                    <c:v>International</c:v>
                  </c:pt>
                  <c:pt idx="10">
                    <c:v>International</c:v>
                  </c:pt>
                  <c:pt idx="11">
                    <c:v>Domestic</c:v>
                  </c:pt>
                  <c:pt idx="12">
                    <c:v>Domestic</c:v>
                  </c:pt>
                  <c:pt idx="13">
                    <c:v>Domestic</c:v>
                  </c:pt>
                  <c:pt idx="14">
                    <c:v>International</c:v>
                  </c:pt>
                  <c:pt idx="15">
                    <c:v>International</c:v>
                  </c:pt>
                  <c:pt idx="16">
                    <c:v>Domestic</c:v>
                  </c:pt>
                  <c:pt idx="17">
                    <c:v>Domestic</c:v>
                  </c:pt>
                  <c:pt idx="18">
                    <c:v>International</c:v>
                  </c:pt>
                  <c:pt idx="19">
                    <c:v>International</c:v>
                  </c:pt>
                  <c:pt idx="20">
                    <c:v>International</c:v>
                  </c:pt>
                  <c:pt idx="21">
                    <c:v>International</c:v>
                  </c:pt>
                  <c:pt idx="22">
                    <c:v>International</c:v>
                  </c:pt>
                  <c:pt idx="23">
                    <c:v>Domestic</c:v>
                  </c:pt>
                  <c:pt idx="24">
                    <c:v>International</c:v>
                  </c:pt>
                  <c:pt idx="25">
                    <c:v>International</c:v>
                  </c:pt>
                  <c:pt idx="26">
                    <c:v>Domestic</c:v>
                  </c:pt>
                  <c:pt idx="27">
                    <c:v>International</c:v>
                  </c:pt>
                </c:lvl>
                <c:lvl>
                  <c:pt idx="0">
                    <c:v>Zaria</c:v>
                  </c:pt>
                  <c:pt idx="1">
                    <c:v>Yola</c:v>
                  </c:pt>
                  <c:pt idx="2">
                    <c:v>Uyo</c:v>
                  </c:pt>
                  <c:pt idx="3">
                    <c:v>Sokoto</c:v>
                  </c:pt>
                  <c:pt idx="4">
                    <c:v>Port Hartcourt</c:v>
                  </c:pt>
                  <c:pt idx="5">
                    <c:v>Osubi</c:v>
                  </c:pt>
                  <c:pt idx="6">
                    <c:v>Minna</c:v>
                  </c:pt>
                  <c:pt idx="7">
                    <c:v>Makurdi</c:v>
                  </c:pt>
                  <c:pt idx="8">
                    <c:v>Maiduguri</c:v>
                  </c:pt>
                  <c:pt idx="9">
                    <c:v>Lagos</c:v>
                  </c:pt>
                  <c:pt idx="10">
                    <c:v>Kano</c:v>
                  </c:pt>
                  <c:pt idx="11">
                    <c:v>Kaduna</c:v>
                  </c:pt>
                  <c:pt idx="12">
                    <c:v>Jos</c:v>
                  </c:pt>
                  <c:pt idx="13">
                    <c:v>Jalingo</c:v>
                  </c:pt>
                  <c:pt idx="14">
                    <c:v>Imo</c:v>
                  </c:pt>
                  <c:pt idx="15">
                    <c:v>Ilorin</c:v>
                  </c:pt>
                  <c:pt idx="16">
                    <c:v>Ibadan</c:v>
                  </c:pt>
                  <c:pt idx="17">
                    <c:v>Gusau</c:v>
                  </c:pt>
                  <c:pt idx="18">
                    <c:v>Gombe</c:v>
                  </c:pt>
                  <c:pt idx="19">
                    <c:v>Enugu</c:v>
                  </c:pt>
                  <c:pt idx="20">
                    <c:v>Dutse</c:v>
                  </c:pt>
                  <c:pt idx="21">
                    <c:v>Calabar</c:v>
                  </c:pt>
                  <c:pt idx="22">
                    <c:v>Birnin Kebbi</c:v>
                  </c:pt>
                  <c:pt idx="23">
                    <c:v>Benin</c:v>
                  </c:pt>
                  <c:pt idx="24">
                    <c:v>Bauchi</c:v>
                  </c:pt>
                  <c:pt idx="25">
                    <c:v>Asaba</c:v>
                  </c:pt>
                  <c:pt idx="26">
                    <c:v>Akure</c:v>
                  </c:pt>
                  <c:pt idx="27">
                    <c:v>Abuja</c:v>
                  </c:pt>
                </c:lvl>
              </c:multiLvlStrCache>
            </c:multiLvlStrRef>
          </c:cat>
          <c:val>
            <c:numRef>
              <c:f>'pivot table 5'!$B$5:$B$61</c:f>
              <c:numCache>
                <c:formatCode>General</c:formatCode>
                <c:ptCount val="28"/>
                <c:pt idx="0">
                  <c:v>75</c:v>
                </c:pt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75</c:v>
                </c:pt>
                <c:pt idx="9">
                  <c:v>100</c:v>
                </c:pt>
                <c:pt idx="10">
                  <c:v>75</c:v>
                </c:pt>
                <c:pt idx="11">
                  <c:v>75</c:v>
                </c:pt>
                <c:pt idx="12">
                  <c:v>50</c:v>
                </c:pt>
                <c:pt idx="13">
                  <c:v>100</c:v>
                </c:pt>
                <c:pt idx="14">
                  <c:v>100</c:v>
                </c:pt>
                <c:pt idx="15">
                  <c:v>75</c:v>
                </c:pt>
                <c:pt idx="16">
                  <c:v>100</c:v>
                </c:pt>
                <c:pt idx="17">
                  <c:v>75</c:v>
                </c:pt>
                <c:pt idx="18">
                  <c:v>75</c:v>
                </c:pt>
                <c:pt idx="19">
                  <c:v>100</c:v>
                </c:pt>
                <c:pt idx="20">
                  <c:v>75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75</c:v>
                </c:pt>
                <c:pt idx="25">
                  <c:v>100</c:v>
                </c:pt>
                <c:pt idx="26">
                  <c:v>75</c:v>
                </c:pt>
                <c:pt idx="2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9-4866-9B7F-C52C0922A78A}"/>
            </c:ext>
          </c:extLst>
        </c:ser>
        <c:ser>
          <c:idx val="1"/>
          <c:order val="1"/>
          <c:tx>
            <c:strRef>
              <c:f>'pivot table 5'!$C$4</c:f>
              <c:strCache>
                <c:ptCount val="1"/>
                <c:pt idx="0">
                  <c:v>Average of Altitude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 5'!$A$5:$A$61</c:f>
              <c:multiLvlStrCache>
                <c:ptCount val="28"/>
                <c:lvl>
                  <c:pt idx="0">
                    <c:v>Domestic</c:v>
                  </c:pt>
                  <c:pt idx="1">
                    <c:v>Domestic</c:v>
                  </c:pt>
                  <c:pt idx="2">
                    <c:v>International</c:v>
                  </c:pt>
                  <c:pt idx="3">
                    <c:v>International</c:v>
                  </c:pt>
                  <c:pt idx="4">
                    <c:v>International</c:v>
                  </c:pt>
                  <c:pt idx="5">
                    <c:v>Domestic</c:v>
                  </c:pt>
                  <c:pt idx="6">
                    <c:v>Domestic</c:v>
                  </c:pt>
                  <c:pt idx="7">
                    <c:v>Domestic</c:v>
                  </c:pt>
                  <c:pt idx="8">
                    <c:v>International</c:v>
                  </c:pt>
                  <c:pt idx="9">
                    <c:v>International</c:v>
                  </c:pt>
                  <c:pt idx="10">
                    <c:v>International</c:v>
                  </c:pt>
                  <c:pt idx="11">
                    <c:v>Domestic</c:v>
                  </c:pt>
                  <c:pt idx="12">
                    <c:v>Domestic</c:v>
                  </c:pt>
                  <c:pt idx="13">
                    <c:v>Domestic</c:v>
                  </c:pt>
                  <c:pt idx="14">
                    <c:v>International</c:v>
                  </c:pt>
                  <c:pt idx="15">
                    <c:v>International</c:v>
                  </c:pt>
                  <c:pt idx="16">
                    <c:v>Domestic</c:v>
                  </c:pt>
                  <c:pt idx="17">
                    <c:v>Domestic</c:v>
                  </c:pt>
                  <c:pt idx="18">
                    <c:v>International</c:v>
                  </c:pt>
                  <c:pt idx="19">
                    <c:v>International</c:v>
                  </c:pt>
                  <c:pt idx="20">
                    <c:v>International</c:v>
                  </c:pt>
                  <c:pt idx="21">
                    <c:v>International</c:v>
                  </c:pt>
                  <c:pt idx="22">
                    <c:v>International</c:v>
                  </c:pt>
                  <c:pt idx="23">
                    <c:v>Domestic</c:v>
                  </c:pt>
                  <c:pt idx="24">
                    <c:v>International</c:v>
                  </c:pt>
                  <c:pt idx="25">
                    <c:v>International</c:v>
                  </c:pt>
                  <c:pt idx="26">
                    <c:v>Domestic</c:v>
                  </c:pt>
                  <c:pt idx="27">
                    <c:v>International</c:v>
                  </c:pt>
                </c:lvl>
                <c:lvl>
                  <c:pt idx="0">
                    <c:v>Zaria</c:v>
                  </c:pt>
                  <c:pt idx="1">
                    <c:v>Yola</c:v>
                  </c:pt>
                  <c:pt idx="2">
                    <c:v>Uyo</c:v>
                  </c:pt>
                  <c:pt idx="3">
                    <c:v>Sokoto</c:v>
                  </c:pt>
                  <c:pt idx="4">
                    <c:v>Port Hartcourt</c:v>
                  </c:pt>
                  <c:pt idx="5">
                    <c:v>Osubi</c:v>
                  </c:pt>
                  <c:pt idx="6">
                    <c:v>Minna</c:v>
                  </c:pt>
                  <c:pt idx="7">
                    <c:v>Makurdi</c:v>
                  </c:pt>
                  <c:pt idx="8">
                    <c:v>Maiduguri</c:v>
                  </c:pt>
                  <c:pt idx="9">
                    <c:v>Lagos</c:v>
                  </c:pt>
                  <c:pt idx="10">
                    <c:v>Kano</c:v>
                  </c:pt>
                  <c:pt idx="11">
                    <c:v>Kaduna</c:v>
                  </c:pt>
                  <c:pt idx="12">
                    <c:v>Jos</c:v>
                  </c:pt>
                  <c:pt idx="13">
                    <c:v>Jalingo</c:v>
                  </c:pt>
                  <c:pt idx="14">
                    <c:v>Imo</c:v>
                  </c:pt>
                  <c:pt idx="15">
                    <c:v>Ilorin</c:v>
                  </c:pt>
                  <c:pt idx="16">
                    <c:v>Ibadan</c:v>
                  </c:pt>
                  <c:pt idx="17">
                    <c:v>Gusau</c:v>
                  </c:pt>
                  <c:pt idx="18">
                    <c:v>Gombe</c:v>
                  </c:pt>
                  <c:pt idx="19">
                    <c:v>Enugu</c:v>
                  </c:pt>
                  <c:pt idx="20">
                    <c:v>Dutse</c:v>
                  </c:pt>
                  <c:pt idx="21">
                    <c:v>Calabar</c:v>
                  </c:pt>
                  <c:pt idx="22">
                    <c:v>Birnin Kebbi</c:v>
                  </c:pt>
                  <c:pt idx="23">
                    <c:v>Benin</c:v>
                  </c:pt>
                  <c:pt idx="24">
                    <c:v>Bauchi</c:v>
                  </c:pt>
                  <c:pt idx="25">
                    <c:v>Asaba</c:v>
                  </c:pt>
                  <c:pt idx="26">
                    <c:v>Akure</c:v>
                  </c:pt>
                  <c:pt idx="27">
                    <c:v>Abuja</c:v>
                  </c:pt>
                </c:lvl>
              </c:multiLvlStrCache>
            </c:multiLvlStrRef>
          </c:cat>
          <c:val>
            <c:numRef>
              <c:f>'pivot table 5'!$C$5:$C$61</c:f>
              <c:numCache>
                <c:formatCode>General</c:formatCode>
                <c:ptCount val="28"/>
                <c:pt idx="0">
                  <c:v>2170</c:v>
                </c:pt>
                <c:pt idx="1">
                  <c:v>599</c:v>
                </c:pt>
                <c:pt idx="2">
                  <c:v>170</c:v>
                </c:pt>
                <c:pt idx="3">
                  <c:v>1010</c:v>
                </c:pt>
                <c:pt idx="4">
                  <c:v>87</c:v>
                </c:pt>
                <c:pt idx="5">
                  <c:v>242</c:v>
                </c:pt>
                <c:pt idx="6">
                  <c:v>834</c:v>
                </c:pt>
                <c:pt idx="7">
                  <c:v>371</c:v>
                </c:pt>
                <c:pt idx="8">
                  <c:v>1099</c:v>
                </c:pt>
                <c:pt idx="9">
                  <c:v>135</c:v>
                </c:pt>
                <c:pt idx="10">
                  <c:v>1562</c:v>
                </c:pt>
                <c:pt idx="11">
                  <c:v>2073</c:v>
                </c:pt>
                <c:pt idx="12">
                  <c:v>4232</c:v>
                </c:pt>
                <c:pt idx="13">
                  <c:v>685</c:v>
                </c:pt>
                <c:pt idx="14">
                  <c:v>373</c:v>
                </c:pt>
                <c:pt idx="15">
                  <c:v>1126</c:v>
                </c:pt>
                <c:pt idx="16">
                  <c:v>725</c:v>
                </c:pt>
                <c:pt idx="17">
                  <c:v>1520</c:v>
                </c:pt>
                <c:pt idx="18">
                  <c:v>1590</c:v>
                </c:pt>
                <c:pt idx="19">
                  <c:v>466</c:v>
                </c:pt>
                <c:pt idx="20">
                  <c:v>1365</c:v>
                </c:pt>
                <c:pt idx="21">
                  <c:v>210</c:v>
                </c:pt>
                <c:pt idx="22">
                  <c:v>775</c:v>
                </c:pt>
                <c:pt idx="23">
                  <c:v>258</c:v>
                </c:pt>
                <c:pt idx="24">
                  <c:v>1965</c:v>
                </c:pt>
                <c:pt idx="25">
                  <c:v>305</c:v>
                </c:pt>
                <c:pt idx="26">
                  <c:v>1100</c:v>
                </c:pt>
                <c:pt idx="27">
                  <c:v>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9-4866-9B7F-C52C0922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858504"/>
        <c:axId val="368853104"/>
      </c:barChart>
      <c:catAx>
        <c:axId val="36885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53104"/>
        <c:crosses val="autoZero"/>
        <c:auto val="1"/>
        <c:lblAlgn val="ctr"/>
        <c:lblOffset val="100"/>
        <c:noMultiLvlLbl val="0"/>
      </c:catAx>
      <c:valAx>
        <c:axId val="3688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5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6</xdr:row>
      <xdr:rowOff>33337</xdr:rowOff>
    </xdr:from>
    <xdr:to>
      <xdr:col>9</xdr:col>
      <xdr:colOff>409575</xdr:colOff>
      <xdr:row>20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D67B26-7788-DA9F-B7D5-0A3A83B72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3</xdr:row>
      <xdr:rowOff>23812</xdr:rowOff>
    </xdr:from>
    <xdr:to>
      <xdr:col>10</xdr:col>
      <xdr:colOff>571500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425CA-2855-C59D-71E1-23D2EDBD2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5</xdr:row>
      <xdr:rowOff>4762</xdr:rowOff>
    </xdr:from>
    <xdr:to>
      <xdr:col>9</xdr:col>
      <xdr:colOff>438150</xdr:colOff>
      <xdr:row>19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D1B94A-F51F-235A-1D35-A757FE7B0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4</xdr:row>
      <xdr:rowOff>33337</xdr:rowOff>
    </xdr:from>
    <xdr:to>
      <xdr:col>10</xdr:col>
      <xdr:colOff>476250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6C11D-4260-D1DB-FBC4-328A9AD4C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0</xdr:row>
      <xdr:rowOff>180975</xdr:rowOff>
    </xdr:from>
    <xdr:to>
      <xdr:col>8</xdr:col>
      <xdr:colOff>257175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988FD-89D3-4DC5-8E0C-BF6821540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390525</xdr:colOff>
      <xdr:row>0</xdr:row>
      <xdr:rowOff>180975</xdr:rowOff>
    </xdr:from>
    <xdr:to>
      <xdr:col>16</xdr:col>
      <xdr:colOff>85725</xdr:colOff>
      <xdr:row>15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3C001-C633-434C-970C-A0EFCDE52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16</xdr:row>
      <xdr:rowOff>19050</xdr:rowOff>
    </xdr:from>
    <xdr:to>
      <xdr:col>8</xdr:col>
      <xdr:colOff>257175</xdr:colOff>
      <xdr:row>30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8D28DB-7CEA-4AC6-9279-4ED57C340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447675</xdr:colOff>
      <xdr:row>16</xdr:row>
      <xdr:rowOff>0</xdr:rowOff>
    </xdr:from>
    <xdr:to>
      <xdr:col>16</xdr:col>
      <xdr:colOff>142875</xdr:colOff>
      <xdr:row>30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FC17A3-9381-4DE3-A708-EE1728E19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och Imoke" refreshedDate="46030.538425231483" createdVersion="8" refreshedVersion="8" minRefreshableVersion="3" recordCount="28" xr:uid="{1A38F230-B0A8-426C-9C17-3A3C7A3BBA44}">
  <cacheSource type="worksheet">
    <worksheetSource ref="A1:N29" sheet="nigeria dataset"/>
  </cacheSource>
  <cacheFields count="14">
    <cacheField name="AIRPORT ID" numFmtId="0">
      <sharedItems containsSemiMixedTypes="0" containsString="0" containsNumber="1" containsInteger="1" minValue="260" maxValue="13458"/>
    </cacheField>
    <cacheField name="Name" numFmtId="0">
      <sharedItems/>
    </cacheField>
    <cacheField name="City" numFmtId="0">
      <sharedItems count="28">
        <s v="Abuja"/>
        <s v="Akure"/>
        <s v="Benin"/>
        <s v="Calabar"/>
        <s v="Enugu"/>
        <s v="Gusau"/>
        <s v="Ibadan"/>
        <s v="Ilorin"/>
        <s v="Jos"/>
        <s v="Kaduna"/>
        <s v="Kano"/>
        <s v="Maiduguri"/>
        <s v="Makurdi"/>
        <s v="Lagos"/>
        <s v="Minna"/>
        <s v="Port Hartcourt"/>
        <s v="Sokoto"/>
        <s v="Yola"/>
        <s v="Zaria"/>
        <s v="Imo"/>
        <s v="Osubi"/>
        <s v="Asaba"/>
        <s v="Uyo"/>
        <s v="Birnin Kebbi"/>
        <s v="Bauchi"/>
        <s v="Gombe"/>
        <s v="Dutse"/>
        <s v="Jalingo"/>
      </sharedItems>
    </cacheField>
    <cacheField name="Country" numFmtId="0">
      <sharedItems/>
    </cacheField>
    <cacheField name="IATA" numFmtId="0">
      <sharedItems/>
    </cacheField>
    <cacheField name="ICAO" numFmtId="0">
      <sharedItems/>
    </cacheField>
    <cacheField name="Latitude" numFmtId="0">
      <sharedItems containsSemiMixedTypes="0" containsString="0" containsNumber="1" minValue="4.8724999999999996" maxValue="12.916299820000001"/>
    </cacheField>
    <cacheField name="Longitude" numFmtId="0">
      <sharedItems containsSemiMixedTypes="0" containsString="0" containsNumber="1" minValue="3.3211600780000001" maxValue="13.080900189999999"/>
    </cacheField>
    <cacheField name="Altitude" numFmtId="0">
      <sharedItems containsSemiMixedTypes="0" containsString="0" containsNumber="1" containsInteger="1" minValue="87" maxValue="4232"/>
    </cacheField>
    <cacheField name="Timezone" numFmtId="0">
      <sharedItems containsSemiMixedTypes="0" containsString="0" containsNumber="1" containsInteger="1" minValue="1" maxValue="1"/>
    </cacheField>
    <cacheField name="DST" numFmtId="0">
      <sharedItems/>
    </cacheField>
    <cacheField name="Tz_database" numFmtId="0">
      <sharedItems/>
    </cacheField>
    <cacheField name="Type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och Imoke" refreshedDate="46030.558137384258" createdVersion="8" refreshedVersion="8" minRefreshableVersion="3" recordCount="28" xr:uid="{E26781CF-FE0A-4ADC-9B77-592062A825BB}">
  <cacheSource type="worksheet">
    <worksheetSource ref="A1:O29" sheet="nigeria dataset"/>
  </cacheSource>
  <cacheFields count="15">
    <cacheField name="AIRPORT ID" numFmtId="0">
      <sharedItems containsSemiMixedTypes="0" containsString="0" containsNumber="1" containsInteger="1" minValue="260" maxValue="13458"/>
    </cacheField>
    <cacheField name="Name" numFmtId="0">
      <sharedItems/>
    </cacheField>
    <cacheField name="City" numFmtId="0">
      <sharedItems count="28">
        <s v="Abuja"/>
        <s v="Akure"/>
        <s v="Benin"/>
        <s v="Calabar"/>
        <s v="Enugu"/>
        <s v="Gusau"/>
        <s v="Ibadan"/>
        <s v="Ilorin"/>
        <s v="Jos"/>
        <s v="Kaduna"/>
        <s v="Kano"/>
        <s v="Maiduguri"/>
        <s v="Makurdi"/>
        <s v="Lagos"/>
        <s v="Minna"/>
        <s v="Port Hartcourt"/>
        <s v="Sokoto"/>
        <s v="Yola"/>
        <s v="Zaria"/>
        <s v="Imo"/>
        <s v="Osubi"/>
        <s v="Asaba"/>
        <s v="Uyo"/>
        <s v="Birnin Kebbi"/>
        <s v="Bauchi"/>
        <s v="Gombe"/>
        <s v="Dutse"/>
        <s v="Jalingo"/>
      </sharedItems>
    </cacheField>
    <cacheField name="Country" numFmtId="0">
      <sharedItems/>
    </cacheField>
    <cacheField name="IATA" numFmtId="0">
      <sharedItems count="25">
        <s v="ABV"/>
        <s v="AKR"/>
        <s v="BNI"/>
        <s v="CBQ"/>
        <s v="ENU"/>
        <s v="\N"/>
        <s v="IBA"/>
        <s v="ILR"/>
        <s v="JOS"/>
        <s v="KAD"/>
        <s v="KAN"/>
        <s v="MIU"/>
        <s v="MDI"/>
        <s v="LOS"/>
        <s v="MXJ"/>
        <s v="PHC"/>
        <s v="SKO"/>
        <s v="YOL"/>
        <s v="ZAR"/>
        <s v="QOW"/>
        <s v="QRW"/>
        <s v="ABB"/>
        <s v="QUO"/>
        <s v="BCU"/>
        <s v="GMO"/>
      </sharedItems>
    </cacheField>
    <cacheField name="ICAO" numFmtId="0">
      <sharedItems/>
    </cacheField>
    <cacheField name="Latitude" numFmtId="0">
      <sharedItems containsSemiMixedTypes="0" containsString="0" containsNumber="1" minValue="4.8724999999999996" maxValue="12.916299820000001" count="28">
        <n v="9.0067901609999996"/>
        <n v="7.2467398640000003"/>
        <n v="6.3169798850000003"/>
        <n v="4.976019859"/>
        <n v="6.4742698670000003"/>
        <n v="12.1717"/>
        <n v="7.3624601360000002"/>
        <n v="8.4402103420000003"/>
        <n v="9.639829636"/>
        <n v="10.696000099999999"/>
        <n v="12.047599999999999"/>
        <n v="11.855299949999999"/>
        <n v="7.7038799999999998"/>
        <n v="6.5773701669999998"/>
        <n v="9.6521701810000007"/>
        <n v="5.0154900549999999"/>
        <n v="12.916299820000001"/>
        <n v="9.2575502400000005"/>
        <n v="11.1302"/>
        <n v="5.4270601269999998"/>
        <n v="5.5961100000000004"/>
        <n v="6.204167"/>
        <n v="4.8724999999999996"/>
        <n v="12.480556"/>
        <n v="10.482832999999999"/>
        <n v="10.29833333"/>
        <n v="11.795168"/>
        <n v="8.9005869999999998"/>
      </sharedItems>
      <fieldGroup base="6">
        <rangePr autoStart="0" autoEnd="0" startNum="4" endNum="14" groupInterval="2"/>
        <groupItems count="7">
          <s v="&lt;4"/>
          <s v="4-6"/>
          <s v="6-8"/>
          <s v="8-10"/>
          <s v="10-12"/>
          <s v="12-14"/>
          <s v="&gt;14"/>
        </groupItems>
      </fieldGroup>
    </cacheField>
    <cacheField name="Longitude" numFmtId="0">
      <sharedItems containsSemiMixedTypes="0" containsString="0" containsNumber="1" minValue="3.3211600780000001" maxValue="13.080900189999999" count="28">
        <n v="7.2631697649999998"/>
        <n v="5.301010132"/>
        <n v="5.5995001789999996"/>
        <n v="8.3472003939999997"/>
        <n v="7.5619602199999996"/>
        <n v="6.69611"/>
        <n v="3.9783298970000001"/>
        <n v="4.4939198490000001"/>
        <n v="8.869050026"/>
        <n v="7.3201098440000001"/>
        <n v="8.5246200000000005"/>
        <n v="13.080900189999999"/>
        <n v="8.6139399999999995"/>
        <n v="3.3211600780000001"/>
        <n v="6.4622597690000001"/>
        <n v="6.9495902059999999"/>
        <n v="5.2071900370000002"/>
        <n v="12.43039989"/>
        <n v="7.68581"/>
        <n v="7.2060298920000001"/>
        <n v="5.81778"/>
        <n v="6.6652779999999998"/>
        <n v="8.093"/>
        <n v="4.3694449999999998"/>
        <n v="9.7439999999999998"/>
        <n v="10.896388890000001"/>
        <n v="9.3116669999999999"/>
        <n v="11.27946"/>
      </sharedItems>
      <fieldGroup base="7">
        <rangePr autoStart="0" autoEnd="0" startNum="3" endNum="15" groupInterval="2"/>
        <groupItems count="8">
          <s v="&lt;3"/>
          <s v="3-5"/>
          <s v="5-7"/>
          <s v="7-9"/>
          <s v="9-11"/>
          <s v="11-13"/>
          <s v="13-15"/>
          <s v="&gt;15"/>
        </groupItems>
      </fieldGroup>
    </cacheField>
    <cacheField name="Altitude" numFmtId="0">
      <sharedItems containsSemiMixedTypes="0" containsString="0" containsNumber="1" containsInteger="1" minValue="87" maxValue="4232"/>
    </cacheField>
    <cacheField name="Timezone" numFmtId="0">
      <sharedItems containsSemiMixedTypes="0" containsString="0" containsNumber="1" containsInteger="1" minValue="1" maxValue="1"/>
    </cacheField>
    <cacheField name="DST" numFmtId="0">
      <sharedItems/>
    </cacheField>
    <cacheField name="Tz_database" numFmtId="0">
      <sharedItems/>
    </cacheField>
    <cacheField name="Type" numFmtId="0">
      <sharedItems/>
    </cacheField>
    <cacheField name="Source" numFmtId="0">
      <sharedItems/>
    </cacheField>
    <cacheField name="Airport Type" numFmtId="0">
      <sharedItems count="2">
        <s v="International"/>
        <s v="Domest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och Imoke" refreshedDate="46030.573045717596" createdVersion="8" refreshedVersion="8" minRefreshableVersion="3" recordCount="28" xr:uid="{79481992-328A-4496-92FE-08FFD029AFBD}">
  <cacheSource type="worksheet">
    <worksheetSource ref="A1:P29" sheet="nigeria dataset"/>
  </cacheSource>
  <cacheFields count="16">
    <cacheField name="AIRPORT ID" numFmtId="0">
      <sharedItems containsSemiMixedTypes="0" containsString="0" containsNumber="1" containsInteger="1" minValue="260" maxValue="13458"/>
    </cacheField>
    <cacheField name="Name" numFmtId="0">
      <sharedItems/>
    </cacheField>
    <cacheField name="City" numFmtId="0">
      <sharedItems count="28">
        <s v="Abuja"/>
        <s v="Akure"/>
        <s v="Benin"/>
        <s v="Calabar"/>
        <s v="Enugu"/>
        <s v="Gusau"/>
        <s v="Ibadan"/>
        <s v="Ilorin"/>
        <s v="Jos"/>
        <s v="Kaduna"/>
        <s v="Kano"/>
        <s v="Maiduguri"/>
        <s v="Makurdi"/>
        <s v="Lagos"/>
        <s v="Minna"/>
        <s v="Port Hartcourt"/>
        <s v="Sokoto"/>
        <s v="Yola"/>
        <s v="Zaria"/>
        <s v="Imo"/>
        <s v="Osubi"/>
        <s v="Asaba"/>
        <s v="Uyo"/>
        <s v="Birnin Kebbi"/>
        <s v="Bauchi"/>
        <s v="Gombe"/>
        <s v="Dutse"/>
        <s v="Jalingo"/>
      </sharedItems>
    </cacheField>
    <cacheField name="Country" numFmtId="0">
      <sharedItems/>
    </cacheField>
    <cacheField name="IATA" numFmtId="0">
      <sharedItems/>
    </cacheField>
    <cacheField name="ICAO" numFmtId="0">
      <sharedItems/>
    </cacheField>
    <cacheField name="Latitude" numFmtId="0">
      <sharedItems containsSemiMixedTypes="0" containsString="0" containsNumber="1" minValue="4.8724999999999996" maxValue="12.916299820000001"/>
    </cacheField>
    <cacheField name="Longitude" numFmtId="0">
      <sharedItems containsSemiMixedTypes="0" containsString="0" containsNumber="1" minValue="3.3211600780000001" maxValue="13.080900189999999"/>
    </cacheField>
    <cacheField name="Altitude" numFmtId="0">
      <sharedItems containsSemiMixedTypes="0" containsString="0" containsNumber="1" containsInteger="1" minValue="87" maxValue="4232"/>
    </cacheField>
    <cacheField name="Timezone" numFmtId="0">
      <sharedItems containsSemiMixedTypes="0" containsString="0" containsNumber="1" containsInteger="1" minValue="1" maxValue="1"/>
    </cacheField>
    <cacheField name="DST" numFmtId="0">
      <sharedItems/>
    </cacheField>
    <cacheField name="Tz_database" numFmtId="0">
      <sharedItems/>
    </cacheField>
    <cacheField name="Type" numFmtId="0">
      <sharedItems/>
    </cacheField>
    <cacheField name="Source" numFmtId="0">
      <sharedItems/>
    </cacheField>
    <cacheField name="Airport Type" numFmtId="0">
      <sharedItems count="2">
        <s v="International"/>
        <s v="Domestic"/>
      </sharedItems>
    </cacheField>
    <cacheField name="Effieciency score" numFmtId="0">
      <sharedItems containsSemiMixedTypes="0" containsString="0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60"/>
    <s v="Nnamdi Azikiwe International Airport"/>
    <x v="0"/>
    <s v="Nigeria"/>
    <s v="ABV"/>
    <s v="DNAA"/>
    <n v="9.0067901609999996"/>
    <n v="7.2631697649999998"/>
    <n v="1123"/>
    <n v="1"/>
    <s v="N"/>
    <s v="Africa/Lagos"/>
    <s v="airport"/>
    <s v="OurAirports"/>
  </r>
  <r>
    <n v="261"/>
    <s v="Akure Airport"/>
    <x v="1"/>
    <s v="Nigeria"/>
    <s v="AKR"/>
    <s v="DNAK"/>
    <n v="7.2467398640000003"/>
    <n v="5.301010132"/>
    <n v="1100"/>
    <n v="1"/>
    <s v="N"/>
    <s v="Africa/Lagos"/>
    <s v="airport"/>
    <s v="OurAirports"/>
  </r>
  <r>
    <n v="262"/>
    <s v="Benin Airport"/>
    <x v="2"/>
    <s v="Nigeria"/>
    <s v="BNI"/>
    <s v="DNBE"/>
    <n v="6.3169798850000003"/>
    <n v="5.5995001789999996"/>
    <n v="258"/>
    <n v="1"/>
    <s v="N"/>
    <s v="Africa/Lagos"/>
    <s v="airport"/>
    <s v="OurAirports"/>
  </r>
  <r>
    <n v="263"/>
    <s v="Margaret Ekpo International Airport"/>
    <x v="3"/>
    <s v="Nigeria"/>
    <s v="CBQ"/>
    <s v="DNCA"/>
    <n v="4.976019859"/>
    <n v="8.3472003939999997"/>
    <n v="210"/>
    <n v="1"/>
    <s v="N"/>
    <s v="Africa/Lagos"/>
    <s v="airport"/>
    <s v="OurAirports"/>
  </r>
  <r>
    <n v="264"/>
    <s v="Akanu Ibiam International Airport"/>
    <x v="4"/>
    <s v="Nigeria"/>
    <s v="ENU"/>
    <s v="DNEN"/>
    <n v="6.4742698670000003"/>
    <n v="7.5619602199999996"/>
    <n v="466"/>
    <n v="1"/>
    <s v="N"/>
    <s v="Africa/Lagos"/>
    <s v="airport"/>
    <s v="OurAirports"/>
  </r>
  <r>
    <n v="265"/>
    <s v="Gusau Airport"/>
    <x v="5"/>
    <s v="Nigeria"/>
    <s v="\N"/>
    <s v="DNGU"/>
    <n v="12.1717"/>
    <n v="6.69611"/>
    <n v="1520"/>
    <n v="1"/>
    <s v="N"/>
    <s v="Africa/Lagos"/>
    <s v="airport"/>
    <s v="OurAirports"/>
  </r>
  <r>
    <n v="266"/>
    <s v="Ibadan Airport"/>
    <x v="6"/>
    <s v="Nigeria"/>
    <s v="IBA"/>
    <s v="DNIB"/>
    <n v="7.3624601360000002"/>
    <n v="3.9783298970000001"/>
    <n v="725"/>
    <n v="1"/>
    <s v="N"/>
    <s v="Africa/Lagos"/>
    <s v="airport"/>
    <s v="OurAirports"/>
  </r>
  <r>
    <n v="267"/>
    <s v="Ilorin International Airport"/>
    <x v="7"/>
    <s v="Nigeria"/>
    <s v="ILR"/>
    <s v="DNIL"/>
    <n v="8.4402103420000003"/>
    <n v="4.4939198490000001"/>
    <n v="1126"/>
    <n v="1"/>
    <s v="N"/>
    <s v="Africa/Lagos"/>
    <s v="airport"/>
    <s v="OurAirports"/>
  </r>
  <r>
    <n v="268"/>
    <s v="Yakubu Gowon Airport"/>
    <x v="8"/>
    <s v="Nigeria"/>
    <s v="JOS"/>
    <s v="DNJO"/>
    <n v="9.639829636"/>
    <n v="8.869050026"/>
    <n v="4232"/>
    <n v="1"/>
    <s v="N"/>
    <s v="Africa/Lagos"/>
    <s v="airport"/>
    <s v="OurAirports"/>
  </r>
  <r>
    <n v="269"/>
    <s v="Kaduna Airport"/>
    <x v="9"/>
    <s v="Nigeria"/>
    <s v="KAD"/>
    <s v="DNKA"/>
    <n v="10.696000099999999"/>
    <n v="7.3201098440000001"/>
    <n v="2073"/>
    <n v="1"/>
    <s v="N"/>
    <s v="Africa/Lagos"/>
    <s v="airport"/>
    <s v="OurAirports"/>
  </r>
  <r>
    <n v="270"/>
    <s v="Mallam Aminu International Airport"/>
    <x v="10"/>
    <s v="Nigeria"/>
    <s v="KAN"/>
    <s v="DNKN"/>
    <n v="12.047599999999999"/>
    <n v="8.5246200000000005"/>
    <n v="1562"/>
    <n v="1"/>
    <s v="N"/>
    <s v="Africa/Lagos"/>
    <s v="airport"/>
    <s v="OurAirports"/>
  </r>
  <r>
    <n v="271"/>
    <s v="Maiduguri International Airport"/>
    <x v="11"/>
    <s v="Nigeria"/>
    <s v="MIU"/>
    <s v="DNMA"/>
    <n v="11.855299949999999"/>
    <n v="13.080900189999999"/>
    <n v="1099"/>
    <n v="1"/>
    <s v="N"/>
    <s v="Africa/Lagos"/>
    <s v="airport"/>
    <s v="OurAirports"/>
  </r>
  <r>
    <n v="272"/>
    <s v="Makurdi Airport"/>
    <x v="12"/>
    <s v="Nigeria"/>
    <s v="MDI"/>
    <s v="DNMK"/>
    <n v="7.7038799999999998"/>
    <n v="8.6139399999999995"/>
    <n v="371"/>
    <n v="1"/>
    <s v="N"/>
    <s v="Africa/Lagos"/>
    <s v="airport"/>
    <s v="OurAirports"/>
  </r>
  <r>
    <n v="273"/>
    <s v="Murtala Muhammed International Airport"/>
    <x v="13"/>
    <s v="Nigeria"/>
    <s v="LOS"/>
    <s v="DNMM"/>
    <n v="6.5773701669999998"/>
    <n v="3.3211600780000001"/>
    <n v="135"/>
    <n v="1"/>
    <s v="N"/>
    <s v="Africa/Lagos"/>
    <s v="airport"/>
    <s v="OurAirports"/>
  </r>
  <r>
    <n v="274"/>
    <s v="Minna Airport"/>
    <x v="14"/>
    <s v="Nigeria"/>
    <s v="MXJ"/>
    <s v="DNMN"/>
    <n v="9.6521701810000007"/>
    <n v="6.4622597690000001"/>
    <n v="834"/>
    <n v="1"/>
    <s v="N"/>
    <s v="Africa/Lagos"/>
    <s v="airport"/>
    <s v="OurAirports"/>
  </r>
  <r>
    <n v="275"/>
    <s v="Port Harcourt International Airport"/>
    <x v="15"/>
    <s v="Nigeria"/>
    <s v="PHC"/>
    <s v="DNPO"/>
    <n v="5.0154900549999999"/>
    <n v="6.9495902059999999"/>
    <n v="87"/>
    <n v="1"/>
    <s v="N"/>
    <s v="Africa/Lagos"/>
    <s v="airport"/>
    <s v="OurAirports"/>
  </r>
  <r>
    <n v="276"/>
    <s v="Sadiq Abubakar III International Airport"/>
    <x v="16"/>
    <s v="Nigeria"/>
    <s v="SKO"/>
    <s v="DNSO"/>
    <n v="12.916299820000001"/>
    <n v="5.2071900370000002"/>
    <n v="1010"/>
    <n v="1"/>
    <s v="N"/>
    <s v="Africa/Lagos"/>
    <s v="airport"/>
    <s v="OurAirports"/>
  </r>
  <r>
    <n v="277"/>
    <s v="Yola Airport"/>
    <x v="17"/>
    <s v="Nigeria"/>
    <s v="YOL"/>
    <s v="DNYO"/>
    <n v="9.2575502400000005"/>
    <n v="12.43039989"/>
    <n v="599"/>
    <n v="1"/>
    <s v="N"/>
    <s v="Africa/Lagos"/>
    <s v="airport"/>
    <s v="OurAirports"/>
  </r>
  <r>
    <n v="278"/>
    <s v="Zaria Airport"/>
    <x v="18"/>
    <s v="Nigeria"/>
    <s v="ZAR"/>
    <s v="DNZA"/>
    <n v="11.1302"/>
    <n v="7.68581"/>
    <n v="2170"/>
    <n v="1"/>
    <s v="N"/>
    <s v="Africa/Lagos"/>
    <s v="airport"/>
    <s v="OurAirports"/>
  </r>
  <r>
    <n v="6730"/>
    <s v="Sam Mbakwe International Airport"/>
    <x v="19"/>
    <s v="Nigeria"/>
    <s v="QOW"/>
    <s v="DNIM"/>
    <n v="5.4270601269999998"/>
    <n v="7.2060298920000001"/>
    <n v="373"/>
    <n v="1"/>
    <s v="N"/>
    <s v="Africa/Lagos"/>
    <s v="airport"/>
    <s v="OurAirports"/>
  </r>
  <r>
    <n v="6972"/>
    <s v="Warri Airport"/>
    <x v="20"/>
    <s v="Nigeria"/>
    <s v="QRW"/>
    <s v="DNSU"/>
    <n v="5.5961100000000004"/>
    <n v="5.81778"/>
    <n v="242"/>
    <n v="1"/>
    <s v="U"/>
    <s v="Africa/Lagos"/>
    <s v="airport"/>
    <s v="OurAirports"/>
  </r>
  <r>
    <n v="9825"/>
    <s v="Asaba International Airport"/>
    <x v="21"/>
    <s v="Nigeria"/>
    <s v="ABB"/>
    <s v="DNAS"/>
    <n v="6.204167"/>
    <n v="6.6652779999999998"/>
    <n v="305"/>
    <n v="1"/>
    <s v="N"/>
    <s v="Africa/Lagos"/>
    <s v="airport"/>
    <s v="OurAirports"/>
  </r>
  <r>
    <n v="9826"/>
    <s v="Akwa Ibom International Airport"/>
    <x v="22"/>
    <s v="Nigeria"/>
    <s v="QUO"/>
    <s v="DNAI"/>
    <n v="4.8724999999999996"/>
    <n v="8.093"/>
    <n v="170"/>
    <n v="1"/>
    <s v="N"/>
    <s v="Africa/Lagos"/>
    <s v="airport"/>
    <s v="OurAirports"/>
  </r>
  <r>
    <n v="13454"/>
    <s v="Srr Ahmadu Bello International Airport"/>
    <x v="23"/>
    <s v="Nigeria"/>
    <s v="\N"/>
    <s v="DNBK"/>
    <n v="12.480556"/>
    <n v="4.3694449999999998"/>
    <n v="775"/>
    <n v="1"/>
    <s v="N"/>
    <s v="\N"/>
    <s v="airport"/>
    <s v="OurAirports"/>
  </r>
  <r>
    <n v="13455"/>
    <s v="Sir Abubakar Tafawa Balewa International Airport"/>
    <x v="24"/>
    <s v="Nigeria"/>
    <s v="BCU"/>
    <s v="DNBC"/>
    <n v="10.482832999999999"/>
    <n v="9.7439999999999998"/>
    <n v="1965"/>
    <n v="1"/>
    <s v="N"/>
    <s v="\N"/>
    <s v="airport"/>
    <s v="OurAirports"/>
  </r>
  <r>
    <n v="13456"/>
    <s v="Gombe Lawanti International Airport"/>
    <x v="25"/>
    <s v="Nigeria"/>
    <s v="GMO"/>
    <s v="DNGO"/>
    <n v="10.29833333"/>
    <n v="10.896388890000001"/>
    <n v="1590"/>
    <n v="1"/>
    <s v="N"/>
    <s v="\N"/>
    <s v="airport"/>
    <s v="OurAirports"/>
  </r>
  <r>
    <n v="13457"/>
    <s v="Dutse International Airport"/>
    <x v="26"/>
    <s v="Nigeria"/>
    <s v="\N"/>
    <s v="DNDS"/>
    <n v="11.795168"/>
    <n v="9.3116669999999999"/>
    <n v="1365"/>
    <n v="1"/>
    <s v="N"/>
    <s v="\N"/>
    <s v="airport"/>
    <s v="OurAirports"/>
  </r>
  <r>
    <n v="13458"/>
    <s v="Jalingo Airport"/>
    <x v="27"/>
    <s v="Nigeria"/>
    <s v="\N"/>
    <s v="DNJA"/>
    <n v="8.9005869999999998"/>
    <n v="11.27946"/>
    <n v="685"/>
    <n v="1"/>
    <s v="N"/>
    <s v="\N"/>
    <s v="airport"/>
    <s v="OurAirport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60"/>
    <s v="Nnamdi Azikiwe International Airport"/>
    <x v="0"/>
    <s v="Nigeria"/>
    <x v="0"/>
    <s v="DNAA"/>
    <x v="0"/>
    <x v="0"/>
    <n v="1123"/>
    <n v="1"/>
    <s v="N"/>
    <s v="Africa/Lagos"/>
    <s v="airport"/>
    <s v="OurAirports"/>
    <x v="0"/>
  </r>
  <r>
    <n v="261"/>
    <s v="Akure Airport"/>
    <x v="1"/>
    <s v="Nigeria"/>
    <x v="1"/>
    <s v="DNAK"/>
    <x v="1"/>
    <x v="1"/>
    <n v="1100"/>
    <n v="1"/>
    <s v="N"/>
    <s v="Africa/Lagos"/>
    <s v="airport"/>
    <s v="OurAirports"/>
    <x v="1"/>
  </r>
  <r>
    <n v="262"/>
    <s v="Benin Airport"/>
    <x v="2"/>
    <s v="Nigeria"/>
    <x v="2"/>
    <s v="DNBE"/>
    <x v="2"/>
    <x v="2"/>
    <n v="258"/>
    <n v="1"/>
    <s v="N"/>
    <s v="Africa/Lagos"/>
    <s v="airport"/>
    <s v="OurAirports"/>
    <x v="1"/>
  </r>
  <r>
    <n v="263"/>
    <s v="Margaret Ekpo International Airport"/>
    <x v="3"/>
    <s v="Nigeria"/>
    <x v="3"/>
    <s v="DNCA"/>
    <x v="3"/>
    <x v="3"/>
    <n v="210"/>
    <n v="1"/>
    <s v="N"/>
    <s v="Africa/Lagos"/>
    <s v="airport"/>
    <s v="OurAirports"/>
    <x v="0"/>
  </r>
  <r>
    <n v="264"/>
    <s v="Akanu Ibiam International Airport"/>
    <x v="4"/>
    <s v="Nigeria"/>
    <x v="4"/>
    <s v="DNEN"/>
    <x v="4"/>
    <x v="4"/>
    <n v="466"/>
    <n v="1"/>
    <s v="N"/>
    <s v="Africa/Lagos"/>
    <s v="airport"/>
    <s v="OurAirports"/>
    <x v="0"/>
  </r>
  <r>
    <n v="265"/>
    <s v="Gusau Airport"/>
    <x v="5"/>
    <s v="Nigeria"/>
    <x v="5"/>
    <s v="DNGU"/>
    <x v="5"/>
    <x v="5"/>
    <n v="1520"/>
    <n v="1"/>
    <s v="N"/>
    <s v="Africa/Lagos"/>
    <s v="airport"/>
    <s v="OurAirports"/>
    <x v="1"/>
  </r>
  <r>
    <n v="266"/>
    <s v="Ibadan Airport"/>
    <x v="6"/>
    <s v="Nigeria"/>
    <x v="6"/>
    <s v="DNIB"/>
    <x v="6"/>
    <x v="6"/>
    <n v="725"/>
    <n v="1"/>
    <s v="N"/>
    <s v="Africa/Lagos"/>
    <s v="airport"/>
    <s v="OurAirports"/>
    <x v="1"/>
  </r>
  <r>
    <n v="267"/>
    <s v="Ilorin International Airport"/>
    <x v="7"/>
    <s v="Nigeria"/>
    <x v="7"/>
    <s v="DNIL"/>
    <x v="7"/>
    <x v="7"/>
    <n v="1126"/>
    <n v="1"/>
    <s v="N"/>
    <s v="Africa/Lagos"/>
    <s v="airport"/>
    <s v="OurAirports"/>
    <x v="0"/>
  </r>
  <r>
    <n v="268"/>
    <s v="Yakubu Gowon Airport"/>
    <x v="8"/>
    <s v="Nigeria"/>
    <x v="8"/>
    <s v="DNJO"/>
    <x v="8"/>
    <x v="8"/>
    <n v="4232"/>
    <n v="1"/>
    <s v="N"/>
    <s v="Africa/Lagos"/>
    <s v="airport"/>
    <s v="OurAirports"/>
    <x v="1"/>
  </r>
  <r>
    <n v="269"/>
    <s v="Kaduna Airport"/>
    <x v="9"/>
    <s v="Nigeria"/>
    <x v="9"/>
    <s v="DNKA"/>
    <x v="9"/>
    <x v="9"/>
    <n v="2073"/>
    <n v="1"/>
    <s v="N"/>
    <s v="Africa/Lagos"/>
    <s v="airport"/>
    <s v="OurAirports"/>
    <x v="1"/>
  </r>
  <r>
    <n v="270"/>
    <s v="Mallam Aminu International Airport"/>
    <x v="10"/>
    <s v="Nigeria"/>
    <x v="10"/>
    <s v="DNKN"/>
    <x v="10"/>
    <x v="10"/>
    <n v="1562"/>
    <n v="1"/>
    <s v="N"/>
    <s v="Africa/Lagos"/>
    <s v="airport"/>
    <s v="OurAirports"/>
    <x v="0"/>
  </r>
  <r>
    <n v="271"/>
    <s v="Maiduguri International Airport"/>
    <x v="11"/>
    <s v="Nigeria"/>
    <x v="11"/>
    <s v="DNMA"/>
    <x v="11"/>
    <x v="11"/>
    <n v="1099"/>
    <n v="1"/>
    <s v="N"/>
    <s v="Africa/Lagos"/>
    <s v="airport"/>
    <s v="OurAirports"/>
    <x v="0"/>
  </r>
  <r>
    <n v="272"/>
    <s v="Makurdi Airport"/>
    <x v="12"/>
    <s v="Nigeria"/>
    <x v="12"/>
    <s v="DNMK"/>
    <x v="12"/>
    <x v="12"/>
    <n v="371"/>
    <n v="1"/>
    <s v="N"/>
    <s v="Africa/Lagos"/>
    <s v="airport"/>
    <s v="OurAirports"/>
    <x v="1"/>
  </r>
  <r>
    <n v="273"/>
    <s v="Murtala Muhammed International Airport"/>
    <x v="13"/>
    <s v="Nigeria"/>
    <x v="13"/>
    <s v="DNMM"/>
    <x v="13"/>
    <x v="13"/>
    <n v="135"/>
    <n v="1"/>
    <s v="N"/>
    <s v="Africa/Lagos"/>
    <s v="airport"/>
    <s v="OurAirports"/>
    <x v="0"/>
  </r>
  <r>
    <n v="274"/>
    <s v="Minna Airport"/>
    <x v="14"/>
    <s v="Nigeria"/>
    <x v="14"/>
    <s v="DNMN"/>
    <x v="14"/>
    <x v="14"/>
    <n v="834"/>
    <n v="1"/>
    <s v="N"/>
    <s v="Africa/Lagos"/>
    <s v="airport"/>
    <s v="OurAirports"/>
    <x v="1"/>
  </r>
  <r>
    <n v="275"/>
    <s v="Port Harcourt International Airport"/>
    <x v="15"/>
    <s v="Nigeria"/>
    <x v="15"/>
    <s v="DNPO"/>
    <x v="15"/>
    <x v="15"/>
    <n v="87"/>
    <n v="1"/>
    <s v="N"/>
    <s v="Africa/Lagos"/>
    <s v="airport"/>
    <s v="OurAirports"/>
    <x v="0"/>
  </r>
  <r>
    <n v="276"/>
    <s v="Sadiq Abubakar III International Airport"/>
    <x v="16"/>
    <s v="Nigeria"/>
    <x v="16"/>
    <s v="DNSO"/>
    <x v="16"/>
    <x v="16"/>
    <n v="1010"/>
    <n v="1"/>
    <s v="N"/>
    <s v="Africa/Lagos"/>
    <s v="airport"/>
    <s v="OurAirports"/>
    <x v="0"/>
  </r>
  <r>
    <n v="277"/>
    <s v="Yola Airport"/>
    <x v="17"/>
    <s v="Nigeria"/>
    <x v="17"/>
    <s v="DNYO"/>
    <x v="17"/>
    <x v="17"/>
    <n v="599"/>
    <n v="1"/>
    <s v="N"/>
    <s v="Africa/Lagos"/>
    <s v="airport"/>
    <s v="OurAirports"/>
    <x v="1"/>
  </r>
  <r>
    <n v="278"/>
    <s v="Zaria Airport"/>
    <x v="18"/>
    <s v="Nigeria"/>
    <x v="18"/>
    <s v="DNZA"/>
    <x v="18"/>
    <x v="18"/>
    <n v="2170"/>
    <n v="1"/>
    <s v="N"/>
    <s v="Africa/Lagos"/>
    <s v="airport"/>
    <s v="OurAirports"/>
    <x v="1"/>
  </r>
  <r>
    <n v="6730"/>
    <s v="Sam Mbakwe International Airport"/>
    <x v="19"/>
    <s v="Nigeria"/>
    <x v="19"/>
    <s v="DNIM"/>
    <x v="19"/>
    <x v="19"/>
    <n v="373"/>
    <n v="1"/>
    <s v="N"/>
    <s v="Africa/Lagos"/>
    <s v="airport"/>
    <s v="OurAirports"/>
    <x v="0"/>
  </r>
  <r>
    <n v="6972"/>
    <s v="Warri Airport"/>
    <x v="20"/>
    <s v="Nigeria"/>
    <x v="20"/>
    <s v="DNSU"/>
    <x v="20"/>
    <x v="20"/>
    <n v="242"/>
    <n v="1"/>
    <s v="U"/>
    <s v="Africa/Lagos"/>
    <s v="airport"/>
    <s v="OurAirports"/>
    <x v="1"/>
  </r>
  <r>
    <n v="9825"/>
    <s v="Asaba International Airport"/>
    <x v="21"/>
    <s v="Nigeria"/>
    <x v="21"/>
    <s v="DNAS"/>
    <x v="21"/>
    <x v="21"/>
    <n v="305"/>
    <n v="1"/>
    <s v="N"/>
    <s v="Africa/Lagos"/>
    <s v="airport"/>
    <s v="OurAirports"/>
    <x v="0"/>
  </r>
  <r>
    <n v="9826"/>
    <s v="Akwa Ibom International Airport"/>
    <x v="22"/>
    <s v="Nigeria"/>
    <x v="22"/>
    <s v="DNAI"/>
    <x v="22"/>
    <x v="22"/>
    <n v="170"/>
    <n v="1"/>
    <s v="N"/>
    <s v="Africa/Lagos"/>
    <s v="airport"/>
    <s v="OurAirports"/>
    <x v="0"/>
  </r>
  <r>
    <n v="13454"/>
    <s v="Srr Ahmadu Bello International Airport"/>
    <x v="23"/>
    <s v="Nigeria"/>
    <x v="5"/>
    <s v="DNBK"/>
    <x v="23"/>
    <x v="23"/>
    <n v="775"/>
    <n v="1"/>
    <s v="N"/>
    <s v="\N"/>
    <s v="airport"/>
    <s v="OurAirports"/>
    <x v="0"/>
  </r>
  <r>
    <n v="13455"/>
    <s v="Sir Abubakar Tafawa Balewa International Airport"/>
    <x v="24"/>
    <s v="Nigeria"/>
    <x v="23"/>
    <s v="DNBC"/>
    <x v="24"/>
    <x v="24"/>
    <n v="1965"/>
    <n v="1"/>
    <s v="N"/>
    <s v="\N"/>
    <s v="airport"/>
    <s v="OurAirports"/>
    <x v="0"/>
  </r>
  <r>
    <n v="13456"/>
    <s v="Gombe Lawanti International Airport"/>
    <x v="25"/>
    <s v="Nigeria"/>
    <x v="24"/>
    <s v="DNGO"/>
    <x v="25"/>
    <x v="25"/>
    <n v="1590"/>
    <n v="1"/>
    <s v="N"/>
    <s v="\N"/>
    <s v="airport"/>
    <s v="OurAirports"/>
    <x v="0"/>
  </r>
  <r>
    <n v="13457"/>
    <s v="Dutse International Airport"/>
    <x v="26"/>
    <s v="Nigeria"/>
    <x v="5"/>
    <s v="DNDS"/>
    <x v="26"/>
    <x v="26"/>
    <n v="1365"/>
    <n v="1"/>
    <s v="N"/>
    <s v="\N"/>
    <s v="airport"/>
    <s v="OurAirports"/>
    <x v="0"/>
  </r>
  <r>
    <n v="13458"/>
    <s v="Jalingo Airport"/>
    <x v="27"/>
    <s v="Nigeria"/>
    <x v="5"/>
    <s v="DNJA"/>
    <x v="27"/>
    <x v="27"/>
    <n v="685"/>
    <n v="1"/>
    <s v="N"/>
    <s v="\N"/>
    <s v="airport"/>
    <s v="OurAirports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60"/>
    <s v="Nnamdi Azikiwe International Airport"/>
    <x v="0"/>
    <s v="Nigeria"/>
    <s v="ABV"/>
    <s v="DNAA"/>
    <n v="9.0067901609999996"/>
    <n v="7.2631697649999998"/>
    <n v="1123"/>
    <n v="1"/>
    <s v="N"/>
    <s v="Africa/Lagos"/>
    <s v="airport"/>
    <s v="OurAirports"/>
    <x v="0"/>
    <n v="75"/>
  </r>
  <r>
    <n v="261"/>
    <s v="Akure Airport"/>
    <x v="1"/>
    <s v="Nigeria"/>
    <s v="AKR"/>
    <s v="DNAK"/>
    <n v="7.2467398640000003"/>
    <n v="5.301010132"/>
    <n v="1100"/>
    <n v="1"/>
    <s v="N"/>
    <s v="Africa/Lagos"/>
    <s v="airport"/>
    <s v="OurAirports"/>
    <x v="1"/>
    <n v="75"/>
  </r>
  <r>
    <n v="262"/>
    <s v="Benin Airport"/>
    <x v="2"/>
    <s v="Nigeria"/>
    <s v="BNI"/>
    <s v="DNBE"/>
    <n v="6.3169798850000003"/>
    <n v="5.5995001789999996"/>
    <n v="258"/>
    <n v="1"/>
    <s v="N"/>
    <s v="Africa/Lagos"/>
    <s v="airport"/>
    <s v="OurAirports"/>
    <x v="1"/>
    <n v="100"/>
  </r>
  <r>
    <n v="263"/>
    <s v="Margaret Ekpo International Airport"/>
    <x v="3"/>
    <s v="Nigeria"/>
    <s v="CBQ"/>
    <s v="DNCA"/>
    <n v="4.976019859"/>
    <n v="8.3472003939999997"/>
    <n v="210"/>
    <n v="1"/>
    <s v="N"/>
    <s v="Africa/Lagos"/>
    <s v="airport"/>
    <s v="OurAirports"/>
    <x v="0"/>
    <n v="100"/>
  </r>
  <r>
    <n v="264"/>
    <s v="Akanu Ibiam International Airport"/>
    <x v="4"/>
    <s v="Nigeria"/>
    <s v="ENU"/>
    <s v="DNEN"/>
    <n v="6.4742698670000003"/>
    <n v="7.5619602199999996"/>
    <n v="466"/>
    <n v="1"/>
    <s v="N"/>
    <s v="Africa/Lagos"/>
    <s v="airport"/>
    <s v="OurAirports"/>
    <x v="0"/>
    <n v="100"/>
  </r>
  <r>
    <n v="265"/>
    <s v="Gusau Airport"/>
    <x v="5"/>
    <s v="Nigeria"/>
    <s v="\N"/>
    <s v="DNGU"/>
    <n v="12.1717"/>
    <n v="6.69611"/>
    <n v="1520"/>
    <n v="1"/>
    <s v="N"/>
    <s v="Africa/Lagos"/>
    <s v="airport"/>
    <s v="OurAirports"/>
    <x v="1"/>
    <n v="75"/>
  </r>
  <r>
    <n v="266"/>
    <s v="Ibadan Airport"/>
    <x v="6"/>
    <s v="Nigeria"/>
    <s v="IBA"/>
    <s v="DNIB"/>
    <n v="7.3624601360000002"/>
    <n v="3.9783298970000001"/>
    <n v="725"/>
    <n v="1"/>
    <s v="N"/>
    <s v="Africa/Lagos"/>
    <s v="airport"/>
    <s v="OurAirports"/>
    <x v="1"/>
    <n v="100"/>
  </r>
  <r>
    <n v="267"/>
    <s v="Ilorin International Airport"/>
    <x v="7"/>
    <s v="Nigeria"/>
    <s v="ILR"/>
    <s v="DNIL"/>
    <n v="8.4402103420000003"/>
    <n v="4.4939198490000001"/>
    <n v="1126"/>
    <n v="1"/>
    <s v="N"/>
    <s v="Africa/Lagos"/>
    <s v="airport"/>
    <s v="OurAirports"/>
    <x v="0"/>
    <n v="75"/>
  </r>
  <r>
    <n v="268"/>
    <s v="Yakubu Gowon Airport"/>
    <x v="8"/>
    <s v="Nigeria"/>
    <s v="JOS"/>
    <s v="DNJO"/>
    <n v="9.639829636"/>
    <n v="8.869050026"/>
    <n v="4232"/>
    <n v="1"/>
    <s v="N"/>
    <s v="Africa/Lagos"/>
    <s v="airport"/>
    <s v="OurAirports"/>
    <x v="1"/>
    <n v="50"/>
  </r>
  <r>
    <n v="269"/>
    <s v="Kaduna Airport"/>
    <x v="9"/>
    <s v="Nigeria"/>
    <s v="KAD"/>
    <s v="DNKA"/>
    <n v="10.696000099999999"/>
    <n v="7.3201098440000001"/>
    <n v="2073"/>
    <n v="1"/>
    <s v="N"/>
    <s v="Africa/Lagos"/>
    <s v="airport"/>
    <s v="OurAirports"/>
    <x v="1"/>
    <n v="75"/>
  </r>
  <r>
    <n v="270"/>
    <s v="Mallam Aminu International Airport"/>
    <x v="10"/>
    <s v="Nigeria"/>
    <s v="KAN"/>
    <s v="DNKN"/>
    <n v="12.047599999999999"/>
    <n v="8.5246200000000005"/>
    <n v="1562"/>
    <n v="1"/>
    <s v="N"/>
    <s v="Africa/Lagos"/>
    <s v="airport"/>
    <s v="OurAirports"/>
    <x v="0"/>
    <n v="75"/>
  </r>
  <r>
    <n v="271"/>
    <s v="Maiduguri International Airport"/>
    <x v="11"/>
    <s v="Nigeria"/>
    <s v="MIU"/>
    <s v="DNMA"/>
    <n v="11.855299949999999"/>
    <n v="13.080900189999999"/>
    <n v="1099"/>
    <n v="1"/>
    <s v="N"/>
    <s v="Africa/Lagos"/>
    <s v="airport"/>
    <s v="OurAirports"/>
    <x v="0"/>
    <n v="75"/>
  </r>
  <r>
    <n v="272"/>
    <s v="Makurdi Airport"/>
    <x v="12"/>
    <s v="Nigeria"/>
    <s v="MDI"/>
    <s v="DNMK"/>
    <n v="7.7038799999999998"/>
    <n v="8.6139399999999995"/>
    <n v="371"/>
    <n v="1"/>
    <s v="N"/>
    <s v="Africa/Lagos"/>
    <s v="airport"/>
    <s v="OurAirports"/>
    <x v="1"/>
    <n v="100"/>
  </r>
  <r>
    <n v="273"/>
    <s v="Murtala Muhammed International Airport"/>
    <x v="13"/>
    <s v="Nigeria"/>
    <s v="LOS"/>
    <s v="DNMM"/>
    <n v="6.5773701669999998"/>
    <n v="3.3211600780000001"/>
    <n v="135"/>
    <n v="1"/>
    <s v="N"/>
    <s v="Africa/Lagos"/>
    <s v="airport"/>
    <s v="OurAirports"/>
    <x v="0"/>
    <n v="100"/>
  </r>
  <r>
    <n v="274"/>
    <s v="Minna Airport"/>
    <x v="14"/>
    <s v="Nigeria"/>
    <s v="MXJ"/>
    <s v="DNMN"/>
    <n v="9.6521701810000007"/>
    <n v="6.4622597690000001"/>
    <n v="834"/>
    <n v="1"/>
    <s v="N"/>
    <s v="Africa/Lagos"/>
    <s v="airport"/>
    <s v="OurAirports"/>
    <x v="1"/>
    <n v="100"/>
  </r>
  <r>
    <n v="275"/>
    <s v="Port Harcourt International Airport"/>
    <x v="15"/>
    <s v="Nigeria"/>
    <s v="PHC"/>
    <s v="DNPO"/>
    <n v="5.0154900549999999"/>
    <n v="6.9495902059999999"/>
    <n v="87"/>
    <n v="1"/>
    <s v="N"/>
    <s v="Africa/Lagos"/>
    <s v="airport"/>
    <s v="OurAirports"/>
    <x v="0"/>
    <n v="100"/>
  </r>
  <r>
    <n v="276"/>
    <s v="Sadiq Abubakar III International Airport"/>
    <x v="16"/>
    <s v="Nigeria"/>
    <s v="SKO"/>
    <s v="DNSO"/>
    <n v="12.916299820000001"/>
    <n v="5.2071900370000002"/>
    <n v="1010"/>
    <n v="1"/>
    <s v="N"/>
    <s v="Africa/Lagos"/>
    <s v="airport"/>
    <s v="OurAirports"/>
    <x v="0"/>
    <n v="75"/>
  </r>
  <r>
    <n v="277"/>
    <s v="Yola Airport"/>
    <x v="17"/>
    <s v="Nigeria"/>
    <s v="YOL"/>
    <s v="DNYO"/>
    <n v="9.2575502400000005"/>
    <n v="12.43039989"/>
    <n v="599"/>
    <n v="1"/>
    <s v="N"/>
    <s v="Africa/Lagos"/>
    <s v="airport"/>
    <s v="OurAirports"/>
    <x v="1"/>
    <n v="100"/>
  </r>
  <r>
    <n v="278"/>
    <s v="Zaria Airport"/>
    <x v="18"/>
    <s v="Nigeria"/>
    <s v="ZAR"/>
    <s v="DNZA"/>
    <n v="11.1302"/>
    <n v="7.68581"/>
    <n v="2170"/>
    <n v="1"/>
    <s v="N"/>
    <s v="Africa/Lagos"/>
    <s v="airport"/>
    <s v="OurAirports"/>
    <x v="1"/>
    <n v="75"/>
  </r>
  <r>
    <n v="6730"/>
    <s v="Sam Mbakwe International Airport"/>
    <x v="19"/>
    <s v="Nigeria"/>
    <s v="QOW"/>
    <s v="DNIM"/>
    <n v="5.4270601269999998"/>
    <n v="7.2060298920000001"/>
    <n v="373"/>
    <n v="1"/>
    <s v="N"/>
    <s v="Africa/Lagos"/>
    <s v="airport"/>
    <s v="OurAirports"/>
    <x v="0"/>
    <n v="100"/>
  </r>
  <r>
    <n v="6972"/>
    <s v="Warri Airport"/>
    <x v="20"/>
    <s v="Nigeria"/>
    <s v="QRW"/>
    <s v="DNSU"/>
    <n v="5.5961100000000004"/>
    <n v="5.81778"/>
    <n v="242"/>
    <n v="1"/>
    <s v="U"/>
    <s v="Africa/Lagos"/>
    <s v="airport"/>
    <s v="OurAirports"/>
    <x v="1"/>
    <n v="100"/>
  </r>
  <r>
    <n v="9825"/>
    <s v="Asaba International Airport"/>
    <x v="21"/>
    <s v="Nigeria"/>
    <s v="ABB"/>
    <s v="DNAS"/>
    <n v="6.204167"/>
    <n v="6.6652779999999998"/>
    <n v="305"/>
    <n v="1"/>
    <s v="N"/>
    <s v="Africa/Lagos"/>
    <s v="airport"/>
    <s v="OurAirports"/>
    <x v="0"/>
    <n v="100"/>
  </r>
  <r>
    <n v="9826"/>
    <s v="Akwa Ibom International Airport"/>
    <x v="22"/>
    <s v="Nigeria"/>
    <s v="QUO"/>
    <s v="DNAI"/>
    <n v="4.8724999999999996"/>
    <n v="8.093"/>
    <n v="170"/>
    <n v="1"/>
    <s v="N"/>
    <s v="Africa/Lagos"/>
    <s v="airport"/>
    <s v="OurAirports"/>
    <x v="0"/>
    <n v="100"/>
  </r>
  <r>
    <n v="13454"/>
    <s v="Srr Ahmadu Bello International Airport"/>
    <x v="23"/>
    <s v="Nigeria"/>
    <s v="\N"/>
    <s v="DNBK"/>
    <n v="12.480556"/>
    <n v="4.3694449999999998"/>
    <n v="775"/>
    <n v="1"/>
    <s v="N"/>
    <s v="\N"/>
    <s v="airport"/>
    <s v="OurAirports"/>
    <x v="0"/>
    <n v="100"/>
  </r>
  <r>
    <n v="13455"/>
    <s v="Sir Abubakar Tafawa Balewa International Airport"/>
    <x v="24"/>
    <s v="Nigeria"/>
    <s v="BCU"/>
    <s v="DNBC"/>
    <n v="10.482832999999999"/>
    <n v="9.7439999999999998"/>
    <n v="1965"/>
    <n v="1"/>
    <s v="N"/>
    <s v="\N"/>
    <s v="airport"/>
    <s v="OurAirports"/>
    <x v="0"/>
    <n v="75"/>
  </r>
  <r>
    <n v="13456"/>
    <s v="Gombe Lawanti International Airport"/>
    <x v="25"/>
    <s v="Nigeria"/>
    <s v="GMO"/>
    <s v="DNGO"/>
    <n v="10.29833333"/>
    <n v="10.896388890000001"/>
    <n v="1590"/>
    <n v="1"/>
    <s v="N"/>
    <s v="\N"/>
    <s v="airport"/>
    <s v="OurAirports"/>
    <x v="0"/>
    <n v="75"/>
  </r>
  <r>
    <n v="13457"/>
    <s v="Dutse International Airport"/>
    <x v="26"/>
    <s v="Nigeria"/>
    <s v="\N"/>
    <s v="DNDS"/>
    <n v="11.795168"/>
    <n v="9.3116669999999999"/>
    <n v="1365"/>
    <n v="1"/>
    <s v="N"/>
    <s v="\N"/>
    <s v="airport"/>
    <s v="OurAirports"/>
    <x v="0"/>
    <n v="75"/>
  </r>
  <r>
    <n v="13458"/>
    <s v="Jalingo Airport"/>
    <x v="27"/>
    <s v="Nigeria"/>
    <s v="\N"/>
    <s v="DNJA"/>
    <n v="8.9005869999999998"/>
    <n v="11.27946"/>
    <n v="685"/>
    <n v="1"/>
    <s v="N"/>
    <s v="\N"/>
    <s v="airport"/>
    <s v="OurAirports"/>
    <x v="1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5931F-0317-4814-86EE-14006572B271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City">
  <location ref="A4:B33" firstHeaderRow="1" firstDataRow="1" firstDataCol="1"/>
  <pivotFields count="14">
    <pivotField dataField="1" showAll="0"/>
    <pivotField showAll="0"/>
    <pivotField axis="axisRow" showAll="0" sortType="descending">
      <items count="29">
        <item x="18"/>
        <item x="17"/>
        <item x="22"/>
        <item x="16"/>
        <item x="15"/>
        <item x="20"/>
        <item x="14"/>
        <item x="12"/>
        <item x="11"/>
        <item x="13"/>
        <item x="10"/>
        <item x="9"/>
        <item x="8"/>
        <item x="27"/>
        <item x="19"/>
        <item x="7"/>
        <item x="6"/>
        <item x="5"/>
        <item x="25"/>
        <item x="4"/>
        <item x="26"/>
        <item x="3"/>
        <item x="23"/>
        <item x="2"/>
        <item x="24"/>
        <item x="21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unt of AIRPORT ID" fld="0" subtotal="count" baseField="2" baseItem="0"/>
  </dataFields>
  <chartFormats count="2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88130-D4E1-42DA-94D4-5A1B50CA720F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y">
  <location ref="A4:C33" firstHeaderRow="0" firstDataRow="1" firstDataCol="1"/>
  <pivotFields count="14">
    <pivotField showAll="0"/>
    <pivotField showAll="0"/>
    <pivotField axis="axisRow" showAll="0" sortType="descending">
      <items count="29">
        <item x="18"/>
        <item x="17"/>
        <item x="22"/>
        <item x="16"/>
        <item x="15"/>
        <item x="20"/>
        <item x="14"/>
        <item x="12"/>
        <item x="11"/>
        <item x="13"/>
        <item x="10"/>
        <item x="9"/>
        <item x="8"/>
        <item x="27"/>
        <item x="19"/>
        <item x="7"/>
        <item x="6"/>
        <item x="5"/>
        <item x="25"/>
        <item x="4"/>
        <item x="26"/>
        <item x="3"/>
        <item x="23"/>
        <item x="2"/>
        <item x="24"/>
        <item x="21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Height" fld="8" subtotal="average" baseField="2" baseItem="0"/>
    <dataField name="Highest Point" fld="8" subtotal="max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BFD26-F1A0-4188-8B78-515E932C2296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ity">
  <location ref="A4:B63" firstHeaderRow="1" firstDataRow="1" firstDataCol="1"/>
  <pivotFields count="15">
    <pivotField dataField="1" showAll="0"/>
    <pivotField showAll="0"/>
    <pivotField axis="axisRow" showAll="0" sortType="ascending">
      <items count="29">
        <item x="0"/>
        <item x="1"/>
        <item x="21"/>
        <item x="24"/>
        <item x="2"/>
        <item x="23"/>
        <item x="3"/>
        <item x="26"/>
        <item x="4"/>
        <item x="25"/>
        <item x="5"/>
        <item x="6"/>
        <item x="7"/>
        <item x="19"/>
        <item x="27"/>
        <item x="8"/>
        <item x="9"/>
        <item x="10"/>
        <item x="13"/>
        <item x="11"/>
        <item x="12"/>
        <item x="14"/>
        <item x="20"/>
        <item x="15"/>
        <item x="16"/>
        <item x="22"/>
        <item x="17"/>
        <item x="18"/>
        <item t="default"/>
      </items>
    </pivotField>
    <pivotField showAll="0"/>
    <pivotField axis="axisRow" showAll="0">
      <items count="26">
        <item x="5"/>
        <item x="21"/>
        <item x="0"/>
        <item x="1"/>
        <item x="23"/>
        <item x="2"/>
        <item x="3"/>
        <item x="4"/>
        <item x="24"/>
        <item x="6"/>
        <item x="7"/>
        <item x="8"/>
        <item x="9"/>
        <item x="10"/>
        <item x="13"/>
        <item x="12"/>
        <item x="11"/>
        <item x="14"/>
        <item x="15"/>
        <item x="19"/>
        <item x="20"/>
        <item x="22"/>
        <item x="16"/>
        <item x="17"/>
        <item x="1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x="1"/>
        <item x="0"/>
        <item t="default"/>
      </items>
    </pivotField>
  </pivotFields>
  <rowFields count="3">
    <field x="14"/>
    <field x="2"/>
    <field x="4"/>
  </rowFields>
  <rowItems count="59">
    <i>
      <x/>
    </i>
    <i r="1">
      <x v="1"/>
    </i>
    <i r="2">
      <x v="3"/>
    </i>
    <i r="1">
      <x v="4"/>
    </i>
    <i r="2">
      <x v="5"/>
    </i>
    <i r="1">
      <x v="10"/>
    </i>
    <i r="2">
      <x/>
    </i>
    <i r="1">
      <x v="11"/>
    </i>
    <i r="2">
      <x v="9"/>
    </i>
    <i r="1">
      <x v="14"/>
    </i>
    <i r="2">
      <x/>
    </i>
    <i r="1">
      <x v="15"/>
    </i>
    <i r="2">
      <x v="11"/>
    </i>
    <i r="1">
      <x v="16"/>
    </i>
    <i r="2">
      <x v="12"/>
    </i>
    <i r="1">
      <x v="20"/>
    </i>
    <i r="2">
      <x v="15"/>
    </i>
    <i r="1">
      <x v="21"/>
    </i>
    <i r="2">
      <x v="17"/>
    </i>
    <i r="1">
      <x v="22"/>
    </i>
    <i r="2">
      <x v="20"/>
    </i>
    <i r="1">
      <x v="26"/>
    </i>
    <i r="2">
      <x v="23"/>
    </i>
    <i r="1">
      <x v="27"/>
    </i>
    <i r="2">
      <x v="24"/>
    </i>
    <i>
      <x v="1"/>
    </i>
    <i r="1">
      <x/>
    </i>
    <i r="2">
      <x v="2"/>
    </i>
    <i r="1">
      <x v="2"/>
    </i>
    <i r="2">
      <x v="1"/>
    </i>
    <i r="1">
      <x v="3"/>
    </i>
    <i r="2">
      <x v="4"/>
    </i>
    <i r="1">
      <x v="5"/>
    </i>
    <i r="2">
      <x/>
    </i>
    <i r="1">
      <x v="6"/>
    </i>
    <i r="2">
      <x v="6"/>
    </i>
    <i r="1">
      <x v="7"/>
    </i>
    <i r="2">
      <x/>
    </i>
    <i r="1">
      <x v="8"/>
    </i>
    <i r="2">
      <x v="7"/>
    </i>
    <i r="1">
      <x v="9"/>
    </i>
    <i r="2">
      <x v="8"/>
    </i>
    <i r="1">
      <x v="12"/>
    </i>
    <i r="2">
      <x v="10"/>
    </i>
    <i r="1">
      <x v="13"/>
    </i>
    <i r="2">
      <x v="19"/>
    </i>
    <i r="1">
      <x v="17"/>
    </i>
    <i r="2">
      <x v="13"/>
    </i>
    <i r="1">
      <x v="18"/>
    </i>
    <i r="2">
      <x v="14"/>
    </i>
    <i r="1">
      <x v="19"/>
    </i>
    <i r="2">
      <x v="16"/>
    </i>
    <i r="1">
      <x v="23"/>
    </i>
    <i r="2">
      <x v="18"/>
    </i>
    <i r="1">
      <x v="24"/>
    </i>
    <i r="2">
      <x v="22"/>
    </i>
    <i r="1">
      <x v="25"/>
    </i>
    <i r="2">
      <x v="21"/>
    </i>
    <i t="grand">
      <x/>
    </i>
  </rowItems>
  <colItems count="1">
    <i/>
  </colItems>
  <dataFields count="1">
    <dataField name="Count of AIRPORT ID" fld="0" subtotal="count" showDataAs="percentOfTotal" baseField="14" baseItem="0" numFmtId="10"/>
  </dataFields>
  <chartFormats count="3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  <reference field="14" count="1" selected="0">
            <x v="0"/>
          </reference>
        </references>
      </pivotArea>
    </chartFormat>
    <chartFormat chart="7" format="32">
      <pivotArea type="data" outline="0" fieldPosition="0">
        <references count="4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5"/>
          </reference>
          <reference field="14" count="1" selected="0">
            <x v="0"/>
          </reference>
        </references>
      </pivotArea>
    </chartFormat>
    <chartFormat chart="7" format="33">
      <pivotArea type="data" outline="0" fieldPosition="0">
        <references count="4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0"/>
          </reference>
          <reference field="14" count="1" selected="0">
            <x v="0"/>
          </reference>
        </references>
      </pivotArea>
    </chartFormat>
    <chartFormat chart="7" format="34">
      <pivotArea type="data" outline="0" fieldPosition="0">
        <references count="4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9"/>
          </reference>
          <reference field="14" count="1" selected="0">
            <x v="0"/>
          </reference>
        </references>
      </pivotArea>
    </chartFormat>
    <chartFormat chart="7" format="35">
      <pivotArea type="data" outline="0" fieldPosition="0">
        <references count="4">
          <reference field="4294967294" count="1" selected="0">
            <x v="0"/>
          </reference>
          <reference field="2" count="1" selected="0">
            <x v="14"/>
          </reference>
          <reference field="4" count="1" selected="0">
            <x v="0"/>
          </reference>
          <reference field="14" count="1" selected="0">
            <x v="0"/>
          </reference>
        </references>
      </pivotArea>
    </chartFormat>
    <chartFormat chart="7" format="36">
      <pivotArea type="data" outline="0" fieldPosition="0">
        <references count="4">
          <reference field="4294967294" count="1" selected="0">
            <x v="0"/>
          </reference>
          <reference field="2" count="1" selected="0">
            <x v="15"/>
          </reference>
          <reference field="4" count="1" selected="0">
            <x v="11"/>
          </reference>
          <reference field="14" count="1" selected="0">
            <x v="0"/>
          </reference>
        </references>
      </pivotArea>
    </chartFormat>
    <chartFormat chart="7" format="37">
      <pivotArea type="data" outline="0" fieldPosition="0">
        <references count="4">
          <reference field="4294967294" count="1" selected="0">
            <x v="0"/>
          </reference>
          <reference field="2" count="1" selected="0">
            <x v="16"/>
          </reference>
          <reference field="4" count="1" selected="0">
            <x v="12"/>
          </reference>
          <reference field="14" count="1" selected="0">
            <x v="0"/>
          </reference>
        </references>
      </pivotArea>
    </chartFormat>
    <chartFormat chart="7" format="38">
      <pivotArea type="data" outline="0" fieldPosition="0">
        <references count="4">
          <reference field="4294967294" count="1" selected="0">
            <x v="0"/>
          </reference>
          <reference field="2" count="1" selected="0">
            <x v="20"/>
          </reference>
          <reference field="4" count="1" selected="0">
            <x v="15"/>
          </reference>
          <reference field="14" count="1" selected="0">
            <x v="0"/>
          </reference>
        </references>
      </pivotArea>
    </chartFormat>
    <chartFormat chart="7" format="39">
      <pivotArea type="data" outline="0" fieldPosition="0">
        <references count="4">
          <reference field="4294967294" count="1" selected="0">
            <x v="0"/>
          </reference>
          <reference field="2" count="1" selected="0">
            <x v="21"/>
          </reference>
          <reference field="4" count="1" selected="0">
            <x v="17"/>
          </reference>
          <reference field="14" count="1" selected="0">
            <x v="0"/>
          </reference>
        </references>
      </pivotArea>
    </chartFormat>
    <chartFormat chart="7" format="40">
      <pivotArea type="data" outline="0" fieldPosition="0">
        <references count="4">
          <reference field="4294967294" count="1" selected="0">
            <x v="0"/>
          </reference>
          <reference field="2" count="1" selected="0">
            <x v="22"/>
          </reference>
          <reference field="4" count="1" selected="0">
            <x v="20"/>
          </reference>
          <reference field="14" count="1" selected="0">
            <x v="0"/>
          </reference>
        </references>
      </pivotArea>
    </chartFormat>
    <chartFormat chart="7" format="41">
      <pivotArea type="data" outline="0" fieldPosition="0">
        <references count="4">
          <reference field="4294967294" count="1" selected="0">
            <x v="0"/>
          </reference>
          <reference field="2" count="1" selected="0">
            <x v="26"/>
          </reference>
          <reference field="4" count="1" selected="0">
            <x v="23"/>
          </reference>
          <reference field="14" count="1" selected="0">
            <x v="0"/>
          </reference>
        </references>
      </pivotArea>
    </chartFormat>
    <chartFormat chart="7" format="42">
      <pivotArea type="data" outline="0" fieldPosition="0">
        <references count="4">
          <reference field="4294967294" count="1" selected="0">
            <x v="0"/>
          </reference>
          <reference field="2" count="1" selected="0">
            <x v="27"/>
          </reference>
          <reference field="4" count="1" selected="0">
            <x v="24"/>
          </reference>
          <reference field="14" count="1" selected="0">
            <x v="0"/>
          </reference>
        </references>
      </pivotArea>
    </chartFormat>
    <chartFormat chart="7" format="4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  <reference field="14" count="1" selected="0">
            <x v="1"/>
          </reference>
        </references>
      </pivotArea>
    </chartFormat>
    <chartFormat chart="7" format="44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  <reference field="14" count="1" selected="0">
            <x v="1"/>
          </reference>
        </references>
      </pivotArea>
    </chartFormat>
    <chartFormat chart="7" format="45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14" count="1" selected="0">
            <x v="1"/>
          </reference>
        </references>
      </pivotArea>
    </chartFormat>
    <chartFormat chart="7" format="46">
      <pivotArea type="data" outline="0" fieldPosition="0">
        <references count="4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0"/>
          </reference>
          <reference field="14" count="1" selected="0">
            <x v="1"/>
          </reference>
        </references>
      </pivotArea>
    </chartFormat>
    <chartFormat chart="7" format="47">
      <pivotArea type="data" outline="0" fieldPosition="0">
        <references count="4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6"/>
          </reference>
          <reference field="14" count="1" selected="0">
            <x v="1"/>
          </reference>
        </references>
      </pivotArea>
    </chartFormat>
    <chartFormat chart="7" format="48">
      <pivotArea type="data" outline="0" fieldPosition="0">
        <references count="4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0"/>
          </reference>
          <reference field="14" count="1" selected="0">
            <x v="1"/>
          </reference>
        </references>
      </pivotArea>
    </chartFormat>
    <chartFormat chart="7" format="49">
      <pivotArea type="data" outline="0" fieldPosition="0">
        <references count="4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7"/>
          </reference>
          <reference field="14" count="1" selected="0">
            <x v="1"/>
          </reference>
        </references>
      </pivotArea>
    </chartFormat>
    <chartFormat chart="7" format="50">
      <pivotArea type="data" outline="0" fieldPosition="0">
        <references count="4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8"/>
          </reference>
          <reference field="14" count="1" selected="0">
            <x v="1"/>
          </reference>
        </references>
      </pivotArea>
    </chartFormat>
    <chartFormat chart="7" format="51">
      <pivotArea type="data" outline="0" fieldPosition="0">
        <references count="4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10"/>
          </reference>
          <reference field="14" count="1" selected="0">
            <x v="1"/>
          </reference>
        </references>
      </pivotArea>
    </chartFormat>
    <chartFormat chart="7" format="52">
      <pivotArea type="data" outline="0" fieldPosition="0">
        <references count="4">
          <reference field="4294967294" count="1" selected="0">
            <x v="0"/>
          </reference>
          <reference field="2" count="1" selected="0">
            <x v="13"/>
          </reference>
          <reference field="4" count="1" selected="0">
            <x v="19"/>
          </reference>
          <reference field="14" count="1" selected="0">
            <x v="1"/>
          </reference>
        </references>
      </pivotArea>
    </chartFormat>
    <chartFormat chart="7" format="53">
      <pivotArea type="data" outline="0" fieldPosition="0">
        <references count="4">
          <reference field="4294967294" count="1" selected="0">
            <x v="0"/>
          </reference>
          <reference field="2" count="1" selected="0">
            <x v="17"/>
          </reference>
          <reference field="4" count="1" selected="0">
            <x v="13"/>
          </reference>
          <reference field="14" count="1" selected="0">
            <x v="1"/>
          </reference>
        </references>
      </pivotArea>
    </chartFormat>
    <chartFormat chart="7" format="54">
      <pivotArea type="data" outline="0" fieldPosition="0">
        <references count="4">
          <reference field="4294967294" count="1" selected="0">
            <x v="0"/>
          </reference>
          <reference field="2" count="1" selected="0">
            <x v="18"/>
          </reference>
          <reference field="4" count="1" selected="0">
            <x v="14"/>
          </reference>
          <reference field="14" count="1" selected="0">
            <x v="1"/>
          </reference>
        </references>
      </pivotArea>
    </chartFormat>
    <chartFormat chart="7" format="55">
      <pivotArea type="data" outline="0" fieldPosition="0">
        <references count="4">
          <reference field="4294967294" count="1" selected="0">
            <x v="0"/>
          </reference>
          <reference field="2" count="1" selected="0">
            <x v="19"/>
          </reference>
          <reference field="4" count="1" selected="0">
            <x v="16"/>
          </reference>
          <reference field="14" count="1" selected="0">
            <x v="1"/>
          </reference>
        </references>
      </pivotArea>
    </chartFormat>
    <chartFormat chart="7" format="56">
      <pivotArea type="data" outline="0" fieldPosition="0">
        <references count="4">
          <reference field="4294967294" count="1" selected="0">
            <x v="0"/>
          </reference>
          <reference field="2" count="1" selected="0">
            <x v="23"/>
          </reference>
          <reference field="4" count="1" selected="0">
            <x v="18"/>
          </reference>
          <reference field="14" count="1" selected="0">
            <x v="1"/>
          </reference>
        </references>
      </pivotArea>
    </chartFormat>
    <chartFormat chart="7" format="57">
      <pivotArea type="data" outline="0" fieldPosition="0">
        <references count="4">
          <reference field="4294967294" count="1" selected="0">
            <x v="0"/>
          </reference>
          <reference field="2" count="1" selected="0">
            <x v="24"/>
          </reference>
          <reference field="4" count="1" selected="0">
            <x v="22"/>
          </reference>
          <reference field="14" count="1" selected="0">
            <x v="1"/>
          </reference>
        </references>
      </pivotArea>
    </chartFormat>
    <chartFormat chart="7" format="58">
      <pivotArea type="data" outline="0" fieldPosition="0">
        <references count="4">
          <reference field="4294967294" count="1" selected="0">
            <x v="0"/>
          </reference>
          <reference field="2" count="1" selected="0">
            <x v="25"/>
          </reference>
          <reference field="4" count="1" selected="0">
            <x v="21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D1C34-672F-4697-891A-C576B58520DC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titude">
  <location ref="A4:H11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8">
        <item x="3"/>
        <item x="2"/>
        <item x="1"/>
        <item x="5"/>
        <item x="4"/>
        <item x="6"/>
        <item x="0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IRPORT ID" fld="0" baseField="0" baseItem="0"/>
  </dataField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00BA7-5D46-4445-822D-34AD49ECF01B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ity">
  <location ref="A4:C61" firstHeaderRow="0" firstDataRow="1" firstDataCol="1"/>
  <pivotFields count="16">
    <pivotField showAll="0"/>
    <pivotField showAll="0"/>
    <pivotField axis="axisRow" showAll="0" sortType="descending">
      <items count="29">
        <item x="18"/>
        <item x="17"/>
        <item x="22"/>
        <item x="16"/>
        <item x="15"/>
        <item x="20"/>
        <item x="14"/>
        <item x="12"/>
        <item x="11"/>
        <item x="13"/>
        <item x="10"/>
        <item x="9"/>
        <item x="8"/>
        <item x="27"/>
        <item x="19"/>
        <item x="7"/>
        <item x="6"/>
        <item x="5"/>
        <item x="25"/>
        <item x="4"/>
        <item x="26"/>
        <item x="3"/>
        <item x="23"/>
        <item x="2"/>
        <item x="24"/>
        <item x="21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</pivotFields>
  <rowFields count="2">
    <field x="2"/>
    <field x="14"/>
  </rowFields>
  <rowItems count="57">
    <i>
      <x/>
    </i>
    <i r="1">
      <x/>
    </i>
    <i>
      <x v="1"/>
    </i>
    <i r="1">
      <x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/>
    </i>
    <i>
      <x v="6"/>
    </i>
    <i r="1">
      <x/>
    </i>
    <i>
      <x v="7"/>
    </i>
    <i r="1">
      <x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/>
    </i>
    <i>
      <x v="12"/>
    </i>
    <i r="1">
      <x/>
    </i>
    <i>
      <x v="13"/>
    </i>
    <i r="1">
      <x/>
    </i>
    <i>
      <x v="14"/>
    </i>
    <i r="1">
      <x v="1"/>
    </i>
    <i>
      <x v="15"/>
    </i>
    <i r="1">
      <x v="1"/>
    </i>
    <i>
      <x v="16"/>
    </i>
    <i r="1">
      <x/>
    </i>
    <i>
      <x v="17"/>
    </i>
    <i r="1">
      <x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/>
    </i>
    <i>
      <x v="24"/>
    </i>
    <i r="1">
      <x v="1"/>
    </i>
    <i>
      <x v="25"/>
    </i>
    <i r="1">
      <x v="1"/>
    </i>
    <i>
      <x v="26"/>
    </i>
    <i r="1">
      <x/>
    </i>
    <i>
      <x v="27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ffieciency score" fld="15" subtotal="average" baseField="2" baseItem="0"/>
    <dataField name="Average of Altitude" fld="8" subtotal="average" baseField="2" baseItem="0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6814-3269-45EE-9D74-8CD4B63C24B0}">
  <dimension ref="A1:P29"/>
  <sheetViews>
    <sheetView topLeftCell="D1" workbookViewId="0">
      <selection activeCell="F4" sqref="F4"/>
    </sheetView>
  </sheetViews>
  <sheetFormatPr defaultRowHeight="15" x14ac:dyDescent="0.25"/>
  <cols>
    <col min="1" max="1" width="28" customWidth="1"/>
    <col min="2" max="2" width="35" customWidth="1"/>
    <col min="3" max="3" width="14.42578125" customWidth="1"/>
    <col min="4" max="4" width="13.28515625" customWidth="1"/>
    <col min="5" max="5" width="16.140625" customWidth="1"/>
    <col min="6" max="6" width="15.42578125" customWidth="1"/>
    <col min="7" max="7" width="18.5703125" customWidth="1"/>
    <col min="8" max="8" width="11.140625" customWidth="1"/>
    <col min="9" max="9" width="15.42578125" customWidth="1"/>
    <col min="12" max="12" width="16.42578125" customWidth="1"/>
    <col min="13" max="13" width="15.42578125" customWidth="1"/>
    <col min="14" max="14" width="16.28515625" customWidth="1"/>
    <col min="15" max="15" width="15.28515625" customWidth="1"/>
    <col min="16" max="16" width="17.85546875" customWidth="1"/>
  </cols>
  <sheetData>
    <row r="1" spans="1:16" x14ac:dyDescent="0.25">
      <c r="A1" t="s">
        <v>129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135</v>
      </c>
      <c r="P1" t="s">
        <v>150</v>
      </c>
    </row>
    <row r="2" spans="1:16" x14ac:dyDescent="0.25">
      <c r="A2">
        <v>260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9.0067901609999996</v>
      </c>
      <c r="H2">
        <v>7.2631697649999998</v>
      </c>
      <c r="I2">
        <v>1123</v>
      </c>
      <c r="J2">
        <v>1</v>
      </c>
      <c r="K2" t="s">
        <v>3</v>
      </c>
      <c r="L2" t="s">
        <v>11</v>
      </c>
      <c r="M2" t="s">
        <v>1</v>
      </c>
      <c r="N2" t="s">
        <v>2</v>
      </c>
      <c r="O2" t="str">
        <f>IF(ISNUMBER(SEARCH("International",B2)),"International","Domestic")</f>
        <v>International</v>
      </c>
      <c r="P2">
        <f>IF(I2&lt;1000,100,IF(I2&lt;3000,75,50))</f>
        <v>75</v>
      </c>
    </row>
    <row r="3" spans="1:16" x14ac:dyDescent="0.25">
      <c r="A3">
        <v>261</v>
      </c>
      <c r="B3" t="s">
        <v>12</v>
      </c>
      <c r="C3" t="s">
        <v>13</v>
      </c>
      <c r="D3" t="s">
        <v>8</v>
      </c>
      <c r="E3" t="s">
        <v>14</v>
      </c>
      <c r="F3" t="s">
        <v>15</v>
      </c>
      <c r="G3">
        <v>7.2467398640000003</v>
      </c>
      <c r="H3">
        <v>5.301010132</v>
      </c>
      <c r="I3">
        <v>1100</v>
      </c>
      <c r="J3">
        <v>1</v>
      </c>
      <c r="K3" t="s">
        <v>3</v>
      </c>
      <c r="L3" t="s">
        <v>11</v>
      </c>
      <c r="M3" t="s">
        <v>1</v>
      </c>
      <c r="N3" t="s">
        <v>2</v>
      </c>
      <c r="O3" t="str">
        <f t="shared" ref="O3:O29" si="0">IF(ISNUMBER(SEARCH("International",B3)),"International","Domestic")</f>
        <v>Domestic</v>
      </c>
      <c r="P3">
        <f t="shared" ref="P3:P29" si="1">IF(I3&lt;1000,100,IF(I3&lt;3000,75,50))</f>
        <v>75</v>
      </c>
    </row>
    <row r="4" spans="1:16" x14ac:dyDescent="0.25">
      <c r="A4">
        <v>262</v>
      </c>
      <c r="B4" t="s">
        <v>16</v>
      </c>
      <c r="C4" t="s">
        <v>5</v>
      </c>
      <c r="D4" t="s">
        <v>8</v>
      </c>
      <c r="E4" t="s">
        <v>17</v>
      </c>
      <c r="F4" t="s">
        <v>18</v>
      </c>
      <c r="G4">
        <v>6.3169798850000003</v>
      </c>
      <c r="H4">
        <v>5.5995001789999996</v>
      </c>
      <c r="I4">
        <v>258</v>
      </c>
      <c r="J4">
        <v>1</v>
      </c>
      <c r="K4" t="s">
        <v>3</v>
      </c>
      <c r="L4" t="s">
        <v>11</v>
      </c>
      <c r="M4" t="s">
        <v>1</v>
      </c>
      <c r="N4" t="s">
        <v>2</v>
      </c>
      <c r="O4" t="str">
        <f t="shared" si="0"/>
        <v>Domestic</v>
      </c>
      <c r="P4">
        <f t="shared" si="1"/>
        <v>100</v>
      </c>
    </row>
    <row r="5" spans="1:16" x14ac:dyDescent="0.25">
      <c r="A5">
        <v>263</v>
      </c>
      <c r="B5" t="s">
        <v>19</v>
      </c>
      <c r="C5" t="s">
        <v>20</v>
      </c>
      <c r="D5" t="s">
        <v>8</v>
      </c>
      <c r="E5" t="s">
        <v>21</v>
      </c>
      <c r="F5" t="s">
        <v>22</v>
      </c>
      <c r="G5">
        <v>4.976019859</v>
      </c>
      <c r="H5">
        <v>8.3472003939999997</v>
      </c>
      <c r="I5">
        <v>210</v>
      </c>
      <c r="J5">
        <v>1</v>
      </c>
      <c r="K5" t="s">
        <v>3</v>
      </c>
      <c r="L5" t="s">
        <v>11</v>
      </c>
      <c r="M5" t="s">
        <v>1</v>
      </c>
      <c r="N5" t="s">
        <v>2</v>
      </c>
      <c r="O5" t="str">
        <f t="shared" si="0"/>
        <v>International</v>
      </c>
      <c r="P5">
        <f t="shared" si="1"/>
        <v>100</v>
      </c>
    </row>
    <row r="6" spans="1:16" x14ac:dyDescent="0.25">
      <c r="A6">
        <v>264</v>
      </c>
      <c r="B6" t="s">
        <v>23</v>
      </c>
      <c r="C6" t="s">
        <v>24</v>
      </c>
      <c r="D6" t="s">
        <v>8</v>
      </c>
      <c r="E6" t="s">
        <v>25</v>
      </c>
      <c r="F6" t="s">
        <v>26</v>
      </c>
      <c r="G6">
        <v>6.4742698670000003</v>
      </c>
      <c r="H6">
        <v>7.5619602199999996</v>
      </c>
      <c r="I6">
        <v>466</v>
      </c>
      <c r="J6">
        <v>1</v>
      </c>
      <c r="K6" t="s">
        <v>3</v>
      </c>
      <c r="L6" t="s">
        <v>11</v>
      </c>
      <c r="M6" t="s">
        <v>1</v>
      </c>
      <c r="N6" t="s">
        <v>2</v>
      </c>
      <c r="O6" t="str">
        <f t="shared" si="0"/>
        <v>International</v>
      </c>
      <c r="P6">
        <f t="shared" si="1"/>
        <v>100</v>
      </c>
    </row>
    <row r="7" spans="1:16" x14ac:dyDescent="0.25">
      <c r="A7">
        <v>265</v>
      </c>
      <c r="B7" t="s">
        <v>27</v>
      </c>
      <c r="C7" t="s">
        <v>28</v>
      </c>
      <c r="D7" t="s">
        <v>8</v>
      </c>
      <c r="E7" t="s">
        <v>4</v>
      </c>
      <c r="F7" t="s">
        <v>29</v>
      </c>
      <c r="G7">
        <v>12.1717</v>
      </c>
      <c r="H7">
        <v>6.69611</v>
      </c>
      <c r="I7">
        <v>1520</v>
      </c>
      <c r="J7">
        <v>1</v>
      </c>
      <c r="K7" t="s">
        <v>3</v>
      </c>
      <c r="L7" t="s">
        <v>11</v>
      </c>
      <c r="M7" t="s">
        <v>1</v>
      </c>
      <c r="N7" t="s">
        <v>2</v>
      </c>
      <c r="O7" t="str">
        <f t="shared" si="0"/>
        <v>Domestic</v>
      </c>
      <c r="P7">
        <f t="shared" si="1"/>
        <v>75</v>
      </c>
    </row>
    <row r="8" spans="1:16" x14ac:dyDescent="0.25">
      <c r="A8">
        <v>266</v>
      </c>
      <c r="B8" t="s">
        <v>30</v>
      </c>
      <c r="C8" t="s">
        <v>31</v>
      </c>
      <c r="D8" t="s">
        <v>8</v>
      </c>
      <c r="E8" t="s">
        <v>32</v>
      </c>
      <c r="F8" t="s">
        <v>33</v>
      </c>
      <c r="G8">
        <v>7.3624601360000002</v>
      </c>
      <c r="H8">
        <v>3.9783298970000001</v>
      </c>
      <c r="I8">
        <v>725</v>
      </c>
      <c r="J8">
        <v>1</v>
      </c>
      <c r="K8" t="s">
        <v>3</v>
      </c>
      <c r="L8" t="s">
        <v>11</v>
      </c>
      <c r="M8" t="s">
        <v>1</v>
      </c>
      <c r="N8" t="s">
        <v>2</v>
      </c>
      <c r="O8" t="str">
        <f t="shared" si="0"/>
        <v>Domestic</v>
      </c>
      <c r="P8">
        <f t="shared" si="1"/>
        <v>100</v>
      </c>
    </row>
    <row r="9" spans="1:16" x14ac:dyDescent="0.25">
      <c r="A9">
        <v>267</v>
      </c>
      <c r="B9" t="s">
        <v>34</v>
      </c>
      <c r="C9" t="s">
        <v>35</v>
      </c>
      <c r="D9" t="s">
        <v>8</v>
      </c>
      <c r="E9" t="s">
        <v>36</v>
      </c>
      <c r="F9" t="s">
        <v>37</v>
      </c>
      <c r="G9">
        <v>8.4402103420000003</v>
      </c>
      <c r="H9">
        <v>4.4939198490000001</v>
      </c>
      <c r="I9">
        <v>1126</v>
      </c>
      <c r="J9">
        <v>1</v>
      </c>
      <c r="K9" t="s">
        <v>3</v>
      </c>
      <c r="L9" t="s">
        <v>11</v>
      </c>
      <c r="M9" t="s">
        <v>1</v>
      </c>
      <c r="N9" t="s">
        <v>2</v>
      </c>
      <c r="O9" t="str">
        <f t="shared" si="0"/>
        <v>International</v>
      </c>
      <c r="P9">
        <f t="shared" si="1"/>
        <v>75</v>
      </c>
    </row>
    <row r="10" spans="1:16" x14ac:dyDescent="0.25">
      <c r="A10">
        <v>268</v>
      </c>
      <c r="B10" t="s">
        <v>38</v>
      </c>
      <c r="C10" t="s">
        <v>39</v>
      </c>
      <c r="D10" t="s">
        <v>8</v>
      </c>
      <c r="E10" t="s">
        <v>40</v>
      </c>
      <c r="F10" t="s">
        <v>41</v>
      </c>
      <c r="G10">
        <v>9.639829636</v>
      </c>
      <c r="H10">
        <v>8.869050026</v>
      </c>
      <c r="I10">
        <v>4232</v>
      </c>
      <c r="J10">
        <v>1</v>
      </c>
      <c r="K10" t="s">
        <v>3</v>
      </c>
      <c r="L10" t="s">
        <v>11</v>
      </c>
      <c r="M10" t="s">
        <v>1</v>
      </c>
      <c r="N10" t="s">
        <v>2</v>
      </c>
      <c r="O10" t="str">
        <f t="shared" si="0"/>
        <v>Domestic</v>
      </c>
      <c r="P10">
        <f t="shared" si="1"/>
        <v>50</v>
      </c>
    </row>
    <row r="11" spans="1:16" x14ac:dyDescent="0.25">
      <c r="A11">
        <v>269</v>
      </c>
      <c r="B11" t="s">
        <v>42</v>
      </c>
      <c r="C11" t="s">
        <v>43</v>
      </c>
      <c r="D11" t="s">
        <v>8</v>
      </c>
      <c r="E11" t="s">
        <v>44</v>
      </c>
      <c r="F11" t="s">
        <v>45</v>
      </c>
      <c r="G11">
        <v>10.696000099999999</v>
      </c>
      <c r="H11">
        <v>7.3201098440000001</v>
      </c>
      <c r="I11">
        <v>2073</v>
      </c>
      <c r="J11">
        <v>1</v>
      </c>
      <c r="K11" t="s">
        <v>3</v>
      </c>
      <c r="L11" t="s">
        <v>11</v>
      </c>
      <c r="M11" t="s">
        <v>1</v>
      </c>
      <c r="N11" t="s">
        <v>2</v>
      </c>
      <c r="O11" t="str">
        <f t="shared" si="0"/>
        <v>Domestic</v>
      </c>
      <c r="P11">
        <f t="shared" si="1"/>
        <v>75</v>
      </c>
    </row>
    <row r="12" spans="1:16" x14ac:dyDescent="0.25">
      <c r="A12">
        <v>270</v>
      </c>
      <c r="B12" t="s">
        <v>46</v>
      </c>
      <c r="C12" t="s">
        <v>47</v>
      </c>
      <c r="D12" t="s">
        <v>8</v>
      </c>
      <c r="E12" t="s">
        <v>48</v>
      </c>
      <c r="F12" t="s">
        <v>49</v>
      </c>
      <c r="G12">
        <v>12.047599999999999</v>
      </c>
      <c r="H12">
        <v>8.5246200000000005</v>
      </c>
      <c r="I12">
        <v>1562</v>
      </c>
      <c r="J12">
        <v>1</v>
      </c>
      <c r="K12" t="s">
        <v>3</v>
      </c>
      <c r="L12" t="s">
        <v>11</v>
      </c>
      <c r="M12" t="s">
        <v>1</v>
      </c>
      <c r="N12" t="s">
        <v>2</v>
      </c>
      <c r="O12" t="str">
        <f t="shared" si="0"/>
        <v>International</v>
      </c>
      <c r="P12">
        <f t="shared" si="1"/>
        <v>75</v>
      </c>
    </row>
    <row r="13" spans="1:16" x14ac:dyDescent="0.25">
      <c r="A13">
        <v>271</v>
      </c>
      <c r="B13" t="s">
        <v>50</v>
      </c>
      <c r="C13" t="s">
        <v>51</v>
      </c>
      <c r="D13" t="s">
        <v>8</v>
      </c>
      <c r="E13" t="s">
        <v>52</v>
      </c>
      <c r="F13" t="s">
        <v>53</v>
      </c>
      <c r="G13">
        <v>11.855299949999999</v>
      </c>
      <c r="H13">
        <v>13.080900189999999</v>
      </c>
      <c r="I13">
        <v>1099</v>
      </c>
      <c r="J13">
        <v>1</v>
      </c>
      <c r="K13" t="s">
        <v>3</v>
      </c>
      <c r="L13" t="s">
        <v>11</v>
      </c>
      <c r="M13" t="s">
        <v>1</v>
      </c>
      <c r="N13" t="s">
        <v>2</v>
      </c>
      <c r="O13" t="str">
        <f t="shared" si="0"/>
        <v>International</v>
      </c>
      <c r="P13">
        <f t="shared" si="1"/>
        <v>75</v>
      </c>
    </row>
    <row r="14" spans="1:16" x14ac:dyDescent="0.25">
      <c r="A14">
        <v>272</v>
      </c>
      <c r="B14" t="s">
        <v>54</v>
      </c>
      <c r="C14" t="s">
        <v>55</v>
      </c>
      <c r="D14" t="s">
        <v>8</v>
      </c>
      <c r="E14" t="s">
        <v>56</v>
      </c>
      <c r="F14" t="s">
        <v>57</v>
      </c>
      <c r="G14">
        <v>7.7038799999999998</v>
      </c>
      <c r="H14">
        <v>8.6139399999999995</v>
      </c>
      <c r="I14">
        <v>371</v>
      </c>
      <c r="J14">
        <v>1</v>
      </c>
      <c r="K14" t="s">
        <v>3</v>
      </c>
      <c r="L14" t="s">
        <v>11</v>
      </c>
      <c r="M14" t="s">
        <v>1</v>
      </c>
      <c r="N14" t="s">
        <v>2</v>
      </c>
      <c r="O14" t="str">
        <f t="shared" si="0"/>
        <v>Domestic</v>
      </c>
      <c r="P14">
        <f t="shared" si="1"/>
        <v>100</v>
      </c>
    </row>
    <row r="15" spans="1:16" x14ac:dyDescent="0.25">
      <c r="A15">
        <v>273</v>
      </c>
      <c r="B15" t="s">
        <v>58</v>
      </c>
      <c r="C15" t="s">
        <v>59</v>
      </c>
      <c r="D15" t="s">
        <v>8</v>
      </c>
      <c r="E15" t="s">
        <v>60</v>
      </c>
      <c r="F15" t="s">
        <v>61</v>
      </c>
      <c r="G15">
        <v>6.5773701669999998</v>
      </c>
      <c r="H15">
        <v>3.3211600780000001</v>
      </c>
      <c r="I15">
        <v>135</v>
      </c>
      <c r="J15">
        <v>1</v>
      </c>
      <c r="K15" t="s">
        <v>3</v>
      </c>
      <c r="L15" t="s">
        <v>11</v>
      </c>
      <c r="M15" t="s">
        <v>1</v>
      </c>
      <c r="N15" t="s">
        <v>2</v>
      </c>
      <c r="O15" t="str">
        <f t="shared" si="0"/>
        <v>International</v>
      </c>
      <c r="P15">
        <f t="shared" si="1"/>
        <v>100</v>
      </c>
    </row>
    <row r="16" spans="1:16" x14ac:dyDescent="0.25">
      <c r="A16">
        <v>274</v>
      </c>
      <c r="B16" t="s">
        <v>62</v>
      </c>
      <c r="C16" t="s">
        <v>63</v>
      </c>
      <c r="D16" t="s">
        <v>8</v>
      </c>
      <c r="E16" t="s">
        <v>64</v>
      </c>
      <c r="F16" t="s">
        <v>65</v>
      </c>
      <c r="G16">
        <v>9.6521701810000007</v>
      </c>
      <c r="H16">
        <v>6.4622597690000001</v>
      </c>
      <c r="I16">
        <v>834</v>
      </c>
      <c r="J16">
        <v>1</v>
      </c>
      <c r="K16" t="s">
        <v>3</v>
      </c>
      <c r="L16" t="s">
        <v>11</v>
      </c>
      <c r="M16" t="s">
        <v>1</v>
      </c>
      <c r="N16" t="s">
        <v>2</v>
      </c>
      <c r="O16" t="str">
        <f t="shared" si="0"/>
        <v>Domestic</v>
      </c>
      <c r="P16">
        <f t="shared" si="1"/>
        <v>100</v>
      </c>
    </row>
    <row r="17" spans="1:16" x14ac:dyDescent="0.25">
      <c r="A17">
        <v>275</v>
      </c>
      <c r="B17" t="s">
        <v>66</v>
      </c>
      <c r="C17" t="s">
        <v>67</v>
      </c>
      <c r="D17" t="s">
        <v>8</v>
      </c>
      <c r="E17" t="s">
        <v>68</v>
      </c>
      <c r="F17" t="s">
        <v>69</v>
      </c>
      <c r="G17">
        <v>5.0154900549999999</v>
      </c>
      <c r="H17">
        <v>6.9495902059999999</v>
      </c>
      <c r="I17">
        <v>87</v>
      </c>
      <c r="J17">
        <v>1</v>
      </c>
      <c r="K17" t="s">
        <v>3</v>
      </c>
      <c r="L17" t="s">
        <v>11</v>
      </c>
      <c r="M17" t="s">
        <v>1</v>
      </c>
      <c r="N17" t="s">
        <v>2</v>
      </c>
      <c r="O17" t="str">
        <f t="shared" si="0"/>
        <v>International</v>
      </c>
      <c r="P17">
        <f t="shared" si="1"/>
        <v>100</v>
      </c>
    </row>
    <row r="18" spans="1:16" x14ac:dyDescent="0.25">
      <c r="A18">
        <v>276</v>
      </c>
      <c r="B18" t="s">
        <v>70</v>
      </c>
      <c r="C18" t="s">
        <v>71</v>
      </c>
      <c r="D18" t="s">
        <v>8</v>
      </c>
      <c r="E18" t="s">
        <v>72</v>
      </c>
      <c r="F18" t="s">
        <v>73</v>
      </c>
      <c r="G18">
        <v>12.916299820000001</v>
      </c>
      <c r="H18">
        <v>5.2071900370000002</v>
      </c>
      <c r="I18">
        <v>1010</v>
      </c>
      <c r="J18">
        <v>1</v>
      </c>
      <c r="K18" t="s">
        <v>3</v>
      </c>
      <c r="L18" t="s">
        <v>11</v>
      </c>
      <c r="M18" t="s">
        <v>1</v>
      </c>
      <c r="N18" t="s">
        <v>2</v>
      </c>
      <c r="O18" t="str">
        <f t="shared" si="0"/>
        <v>International</v>
      </c>
      <c r="P18">
        <f t="shared" si="1"/>
        <v>75</v>
      </c>
    </row>
    <row r="19" spans="1:16" x14ac:dyDescent="0.25">
      <c r="A19">
        <v>277</v>
      </c>
      <c r="B19" t="s">
        <v>74</v>
      </c>
      <c r="C19" t="s">
        <v>75</v>
      </c>
      <c r="D19" t="s">
        <v>8</v>
      </c>
      <c r="E19" t="s">
        <v>76</v>
      </c>
      <c r="F19" t="s">
        <v>77</v>
      </c>
      <c r="G19">
        <v>9.2575502400000005</v>
      </c>
      <c r="H19">
        <v>12.43039989</v>
      </c>
      <c r="I19">
        <v>599</v>
      </c>
      <c r="J19">
        <v>1</v>
      </c>
      <c r="K19" t="s">
        <v>3</v>
      </c>
      <c r="L19" t="s">
        <v>11</v>
      </c>
      <c r="M19" t="s">
        <v>1</v>
      </c>
      <c r="N19" t="s">
        <v>2</v>
      </c>
      <c r="O19" t="str">
        <f t="shared" si="0"/>
        <v>Domestic</v>
      </c>
      <c r="P19">
        <f t="shared" si="1"/>
        <v>100</v>
      </c>
    </row>
    <row r="20" spans="1:16" x14ac:dyDescent="0.25">
      <c r="A20">
        <v>278</v>
      </c>
      <c r="B20" t="s">
        <v>78</v>
      </c>
      <c r="C20" t="s">
        <v>79</v>
      </c>
      <c r="D20" t="s">
        <v>8</v>
      </c>
      <c r="E20" t="s">
        <v>80</v>
      </c>
      <c r="F20" t="s">
        <v>81</v>
      </c>
      <c r="G20">
        <v>11.1302</v>
      </c>
      <c r="H20">
        <v>7.68581</v>
      </c>
      <c r="I20">
        <v>2170</v>
      </c>
      <c r="J20">
        <v>1</v>
      </c>
      <c r="K20" t="s">
        <v>3</v>
      </c>
      <c r="L20" t="s">
        <v>11</v>
      </c>
      <c r="M20" t="s">
        <v>1</v>
      </c>
      <c r="N20" t="s">
        <v>2</v>
      </c>
      <c r="O20" t="str">
        <f t="shared" si="0"/>
        <v>Domestic</v>
      </c>
      <c r="P20">
        <f t="shared" si="1"/>
        <v>75</v>
      </c>
    </row>
    <row r="21" spans="1:16" x14ac:dyDescent="0.25">
      <c r="A21">
        <v>6730</v>
      </c>
      <c r="B21" t="s">
        <v>82</v>
      </c>
      <c r="C21" t="s">
        <v>83</v>
      </c>
      <c r="D21" t="s">
        <v>8</v>
      </c>
      <c r="E21" t="s">
        <v>84</v>
      </c>
      <c r="F21" t="s">
        <v>85</v>
      </c>
      <c r="G21">
        <v>5.4270601269999998</v>
      </c>
      <c r="H21">
        <v>7.2060298920000001</v>
      </c>
      <c r="I21">
        <v>373</v>
      </c>
      <c r="J21">
        <v>1</v>
      </c>
      <c r="K21" t="s">
        <v>3</v>
      </c>
      <c r="L21" t="s">
        <v>11</v>
      </c>
      <c r="M21" t="s">
        <v>1</v>
      </c>
      <c r="N21" t="s">
        <v>2</v>
      </c>
      <c r="O21" t="str">
        <f t="shared" si="0"/>
        <v>International</v>
      </c>
      <c r="P21">
        <f t="shared" si="1"/>
        <v>100</v>
      </c>
    </row>
    <row r="22" spans="1:16" x14ac:dyDescent="0.25">
      <c r="A22">
        <v>6972</v>
      </c>
      <c r="B22" t="s">
        <v>86</v>
      </c>
      <c r="C22" t="s">
        <v>87</v>
      </c>
      <c r="D22" t="s">
        <v>8</v>
      </c>
      <c r="E22" t="s">
        <v>88</v>
      </c>
      <c r="F22" t="s">
        <v>89</v>
      </c>
      <c r="G22">
        <v>5.5961100000000004</v>
      </c>
      <c r="H22">
        <v>5.81778</v>
      </c>
      <c r="I22">
        <v>242</v>
      </c>
      <c r="J22">
        <v>1</v>
      </c>
      <c r="K22" t="s">
        <v>0</v>
      </c>
      <c r="L22" t="s">
        <v>11</v>
      </c>
      <c r="M22" t="s">
        <v>1</v>
      </c>
      <c r="N22" t="s">
        <v>2</v>
      </c>
      <c r="O22" t="str">
        <f t="shared" si="0"/>
        <v>Domestic</v>
      </c>
      <c r="P22">
        <f t="shared" si="1"/>
        <v>100</v>
      </c>
    </row>
    <row r="23" spans="1:16" x14ac:dyDescent="0.25">
      <c r="A23">
        <v>9825</v>
      </c>
      <c r="B23" t="s">
        <v>90</v>
      </c>
      <c r="C23" t="s">
        <v>91</v>
      </c>
      <c r="D23" t="s">
        <v>8</v>
      </c>
      <c r="E23" t="s">
        <v>92</v>
      </c>
      <c r="F23" t="s">
        <v>93</v>
      </c>
      <c r="G23">
        <v>6.204167</v>
      </c>
      <c r="H23">
        <v>6.6652779999999998</v>
      </c>
      <c r="I23">
        <v>305</v>
      </c>
      <c r="J23">
        <v>1</v>
      </c>
      <c r="K23" t="s">
        <v>3</v>
      </c>
      <c r="L23" t="s">
        <v>11</v>
      </c>
      <c r="M23" t="s">
        <v>1</v>
      </c>
      <c r="N23" t="s">
        <v>2</v>
      </c>
      <c r="O23" t="str">
        <f t="shared" si="0"/>
        <v>International</v>
      </c>
      <c r="P23">
        <f t="shared" si="1"/>
        <v>100</v>
      </c>
    </row>
    <row r="24" spans="1:16" x14ac:dyDescent="0.25">
      <c r="A24">
        <v>9826</v>
      </c>
      <c r="B24" t="s">
        <v>94</v>
      </c>
      <c r="C24" t="s">
        <v>95</v>
      </c>
      <c r="D24" t="s">
        <v>8</v>
      </c>
      <c r="E24" t="s">
        <v>96</v>
      </c>
      <c r="F24" t="s">
        <v>97</v>
      </c>
      <c r="G24">
        <v>4.8724999999999996</v>
      </c>
      <c r="H24">
        <v>8.093</v>
      </c>
      <c r="I24">
        <v>170</v>
      </c>
      <c r="J24">
        <v>1</v>
      </c>
      <c r="K24" t="s">
        <v>3</v>
      </c>
      <c r="L24" t="s">
        <v>11</v>
      </c>
      <c r="M24" t="s">
        <v>1</v>
      </c>
      <c r="N24" t="s">
        <v>2</v>
      </c>
      <c r="O24" t="str">
        <f t="shared" si="0"/>
        <v>International</v>
      </c>
      <c r="P24">
        <f t="shared" si="1"/>
        <v>100</v>
      </c>
    </row>
    <row r="25" spans="1:16" x14ac:dyDescent="0.25">
      <c r="A25">
        <v>13454</v>
      </c>
      <c r="B25" t="s">
        <v>98</v>
      </c>
      <c r="C25" t="s">
        <v>99</v>
      </c>
      <c r="D25" t="s">
        <v>8</v>
      </c>
      <c r="E25" t="s">
        <v>4</v>
      </c>
      <c r="F25" t="s">
        <v>100</v>
      </c>
      <c r="G25">
        <v>12.480556</v>
      </c>
      <c r="H25">
        <v>4.3694449999999998</v>
      </c>
      <c r="I25">
        <v>775</v>
      </c>
      <c r="J25">
        <v>1</v>
      </c>
      <c r="K25" t="s">
        <v>3</v>
      </c>
      <c r="L25" t="s">
        <v>4</v>
      </c>
      <c r="M25" t="s">
        <v>1</v>
      </c>
      <c r="N25" t="s">
        <v>2</v>
      </c>
      <c r="O25" t="str">
        <f t="shared" si="0"/>
        <v>International</v>
      </c>
      <c r="P25">
        <f t="shared" si="1"/>
        <v>100</v>
      </c>
    </row>
    <row r="26" spans="1:16" x14ac:dyDescent="0.25">
      <c r="A26">
        <v>13455</v>
      </c>
      <c r="B26" t="s">
        <v>101</v>
      </c>
      <c r="C26" t="s">
        <v>102</v>
      </c>
      <c r="D26" t="s">
        <v>8</v>
      </c>
      <c r="E26" t="s">
        <v>103</v>
      </c>
      <c r="F26" t="s">
        <v>104</v>
      </c>
      <c r="G26">
        <v>10.482832999999999</v>
      </c>
      <c r="H26">
        <v>9.7439999999999998</v>
      </c>
      <c r="I26">
        <v>1965</v>
      </c>
      <c r="J26">
        <v>1</v>
      </c>
      <c r="K26" t="s">
        <v>3</v>
      </c>
      <c r="L26" t="s">
        <v>4</v>
      </c>
      <c r="M26" t="s">
        <v>1</v>
      </c>
      <c r="N26" t="s">
        <v>2</v>
      </c>
      <c r="O26" t="str">
        <f t="shared" si="0"/>
        <v>International</v>
      </c>
      <c r="P26">
        <f t="shared" si="1"/>
        <v>75</v>
      </c>
    </row>
    <row r="27" spans="1:16" x14ac:dyDescent="0.25">
      <c r="A27">
        <v>13456</v>
      </c>
      <c r="B27" t="s">
        <v>105</v>
      </c>
      <c r="C27" t="s">
        <v>106</v>
      </c>
      <c r="D27" t="s">
        <v>8</v>
      </c>
      <c r="E27" t="s">
        <v>107</v>
      </c>
      <c r="F27" t="s">
        <v>108</v>
      </c>
      <c r="G27">
        <v>10.29833333</v>
      </c>
      <c r="H27">
        <v>10.896388890000001</v>
      </c>
      <c r="I27">
        <v>1590</v>
      </c>
      <c r="J27">
        <v>1</v>
      </c>
      <c r="K27" t="s">
        <v>3</v>
      </c>
      <c r="L27" t="s">
        <v>4</v>
      </c>
      <c r="M27" t="s">
        <v>1</v>
      </c>
      <c r="N27" t="s">
        <v>2</v>
      </c>
      <c r="O27" t="str">
        <f t="shared" si="0"/>
        <v>International</v>
      </c>
      <c r="P27">
        <f t="shared" si="1"/>
        <v>75</v>
      </c>
    </row>
    <row r="28" spans="1:16" x14ac:dyDescent="0.25">
      <c r="A28">
        <v>13457</v>
      </c>
      <c r="B28" t="s">
        <v>109</v>
      </c>
      <c r="C28" t="s">
        <v>110</v>
      </c>
      <c r="D28" t="s">
        <v>8</v>
      </c>
      <c r="E28" t="s">
        <v>4</v>
      </c>
      <c r="F28" t="s">
        <v>111</v>
      </c>
      <c r="G28">
        <v>11.795168</v>
      </c>
      <c r="H28">
        <v>9.3116669999999999</v>
      </c>
      <c r="I28">
        <v>1365</v>
      </c>
      <c r="J28">
        <v>1</v>
      </c>
      <c r="K28" t="s">
        <v>3</v>
      </c>
      <c r="L28" t="s">
        <v>4</v>
      </c>
      <c r="M28" t="s">
        <v>1</v>
      </c>
      <c r="N28" t="s">
        <v>2</v>
      </c>
      <c r="O28" t="str">
        <f t="shared" si="0"/>
        <v>International</v>
      </c>
      <c r="P28">
        <f t="shared" si="1"/>
        <v>75</v>
      </c>
    </row>
    <row r="29" spans="1:16" x14ac:dyDescent="0.25">
      <c r="A29">
        <v>13458</v>
      </c>
      <c r="B29" t="s">
        <v>112</v>
      </c>
      <c r="C29" t="s">
        <v>113</v>
      </c>
      <c r="D29" t="s">
        <v>8</v>
      </c>
      <c r="E29" t="s">
        <v>4</v>
      </c>
      <c r="F29" t="s">
        <v>114</v>
      </c>
      <c r="G29">
        <v>8.9005869999999998</v>
      </c>
      <c r="H29">
        <v>11.27946</v>
      </c>
      <c r="I29">
        <v>685</v>
      </c>
      <c r="J29">
        <v>1</v>
      </c>
      <c r="K29" t="s">
        <v>3</v>
      </c>
      <c r="L29" t="s">
        <v>4</v>
      </c>
      <c r="M29" t="s">
        <v>1</v>
      </c>
      <c r="N29" t="s">
        <v>2</v>
      </c>
      <c r="O29" t="str">
        <f t="shared" si="0"/>
        <v>Domestic</v>
      </c>
      <c r="P29">
        <f t="shared" si="1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D731-A0D3-49AC-9F6E-FA4317FD2711}">
  <dimension ref="A1:B33"/>
  <sheetViews>
    <sheetView workbookViewId="0">
      <selection activeCell="B12" sqref="B12"/>
    </sheetView>
  </sheetViews>
  <sheetFormatPr defaultRowHeight="15" x14ac:dyDescent="0.25"/>
  <cols>
    <col min="1" max="1" width="13.42578125" bestFit="1" customWidth="1"/>
    <col min="2" max="2" width="19.85546875" bestFit="1" customWidth="1"/>
  </cols>
  <sheetData>
    <row r="1" spans="1:2" x14ac:dyDescent="0.25">
      <c r="A1" t="s">
        <v>153</v>
      </c>
    </row>
    <row r="2" spans="1:2" x14ac:dyDescent="0.25">
      <c r="A2" t="s">
        <v>154</v>
      </c>
    </row>
    <row r="3" spans="1:2" x14ac:dyDescent="0.25">
      <c r="A3" t="s">
        <v>155</v>
      </c>
    </row>
    <row r="4" spans="1:2" x14ac:dyDescent="0.25">
      <c r="A4" s="1" t="s">
        <v>116</v>
      </c>
      <c r="B4" t="s">
        <v>131</v>
      </c>
    </row>
    <row r="5" spans="1:2" x14ac:dyDescent="0.25">
      <c r="A5" s="2" t="s">
        <v>79</v>
      </c>
      <c r="B5" s="3">
        <v>1</v>
      </c>
    </row>
    <row r="6" spans="1:2" x14ac:dyDescent="0.25">
      <c r="A6" s="2" t="s">
        <v>75</v>
      </c>
      <c r="B6" s="3">
        <v>1</v>
      </c>
    </row>
    <row r="7" spans="1:2" x14ac:dyDescent="0.25">
      <c r="A7" s="2" t="s">
        <v>95</v>
      </c>
      <c r="B7" s="3">
        <v>1</v>
      </c>
    </row>
    <row r="8" spans="1:2" x14ac:dyDescent="0.25">
      <c r="A8" s="2" t="s">
        <v>71</v>
      </c>
      <c r="B8" s="3">
        <v>1</v>
      </c>
    </row>
    <row r="9" spans="1:2" x14ac:dyDescent="0.25">
      <c r="A9" s="2" t="s">
        <v>67</v>
      </c>
      <c r="B9" s="3">
        <v>1</v>
      </c>
    </row>
    <row r="10" spans="1:2" x14ac:dyDescent="0.25">
      <c r="A10" s="2" t="s">
        <v>87</v>
      </c>
      <c r="B10" s="3">
        <v>1</v>
      </c>
    </row>
    <row r="11" spans="1:2" x14ac:dyDescent="0.25">
      <c r="A11" s="2" t="s">
        <v>63</v>
      </c>
      <c r="B11" s="3">
        <v>1</v>
      </c>
    </row>
    <row r="12" spans="1:2" x14ac:dyDescent="0.25">
      <c r="A12" s="2" t="s">
        <v>55</v>
      </c>
      <c r="B12" s="3">
        <v>1</v>
      </c>
    </row>
    <row r="13" spans="1:2" x14ac:dyDescent="0.25">
      <c r="A13" s="2" t="s">
        <v>51</v>
      </c>
      <c r="B13" s="3">
        <v>1</v>
      </c>
    </row>
    <row r="14" spans="1:2" x14ac:dyDescent="0.25">
      <c r="A14" s="2" t="s">
        <v>59</v>
      </c>
      <c r="B14" s="3">
        <v>1</v>
      </c>
    </row>
    <row r="15" spans="1:2" x14ac:dyDescent="0.25">
      <c r="A15" s="2" t="s">
        <v>47</v>
      </c>
      <c r="B15" s="3">
        <v>1</v>
      </c>
    </row>
    <row r="16" spans="1:2" x14ac:dyDescent="0.25">
      <c r="A16" s="2" t="s">
        <v>43</v>
      </c>
      <c r="B16" s="3">
        <v>1</v>
      </c>
    </row>
    <row r="17" spans="1:2" x14ac:dyDescent="0.25">
      <c r="A17" s="2" t="s">
        <v>39</v>
      </c>
      <c r="B17" s="3">
        <v>1</v>
      </c>
    </row>
    <row r="18" spans="1:2" x14ac:dyDescent="0.25">
      <c r="A18" s="2" t="s">
        <v>113</v>
      </c>
      <c r="B18" s="3">
        <v>1</v>
      </c>
    </row>
    <row r="19" spans="1:2" x14ac:dyDescent="0.25">
      <c r="A19" s="2" t="s">
        <v>83</v>
      </c>
      <c r="B19" s="3">
        <v>1</v>
      </c>
    </row>
    <row r="20" spans="1:2" x14ac:dyDescent="0.25">
      <c r="A20" s="2" t="s">
        <v>35</v>
      </c>
      <c r="B20" s="3">
        <v>1</v>
      </c>
    </row>
    <row r="21" spans="1:2" x14ac:dyDescent="0.25">
      <c r="A21" s="2" t="s">
        <v>31</v>
      </c>
      <c r="B21" s="3">
        <v>1</v>
      </c>
    </row>
    <row r="22" spans="1:2" x14ac:dyDescent="0.25">
      <c r="A22" s="2" t="s">
        <v>28</v>
      </c>
      <c r="B22" s="3">
        <v>1</v>
      </c>
    </row>
    <row r="23" spans="1:2" x14ac:dyDescent="0.25">
      <c r="A23" s="2" t="s">
        <v>106</v>
      </c>
      <c r="B23" s="3">
        <v>1</v>
      </c>
    </row>
    <row r="24" spans="1:2" x14ac:dyDescent="0.25">
      <c r="A24" s="2" t="s">
        <v>24</v>
      </c>
      <c r="B24" s="3">
        <v>1</v>
      </c>
    </row>
    <row r="25" spans="1:2" x14ac:dyDescent="0.25">
      <c r="A25" s="2" t="s">
        <v>110</v>
      </c>
      <c r="B25" s="3">
        <v>1</v>
      </c>
    </row>
    <row r="26" spans="1:2" x14ac:dyDescent="0.25">
      <c r="A26" s="2" t="s">
        <v>20</v>
      </c>
      <c r="B26" s="3">
        <v>1</v>
      </c>
    </row>
    <row r="27" spans="1:2" x14ac:dyDescent="0.25">
      <c r="A27" s="2" t="s">
        <v>99</v>
      </c>
      <c r="B27" s="3">
        <v>1</v>
      </c>
    </row>
    <row r="28" spans="1:2" x14ac:dyDescent="0.25">
      <c r="A28" s="2" t="s">
        <v>5</v>
      </c>
      <c r="B28" s="3">
        <v>1</v>
      </c>
    </row>
    <row r="29" spans="1:2" x14ac:dyDescent="0.25">
      <c r="A29" s="2" t="s">
        <v>102</v>
      </c>
      <c r="B29" s="3">
        <v>1</v>
      </c>
    </row>
    <row r="30" spans="1:2" x14ac:dyDescent="0.25">
      <c r="A30" s="2" t="s">
        <v>91</v>
      </c>
      <c r="B30" s="3">
        <v>1</v>
      </c>
    </row>
    <row r="31" spans="1:2" x14ac:dyDescent="0.25">
      <c r="A31" s="2" t="s">
        <v>13</v>
      </c>
      <c r="B31" s="3">
        <v>1</v>
      </c>
    </row>
    <row r="32" spans="1:2" x14ac:dyDescent="0.25">
      <c r="A32" s="2" t="s">
        <v>7</v>
      </c>
      <c r="B32" s="3">
        <v>1</v>
      </c>
    </row>
    <row r="33" spans="1:2" x14ac:dyDescent="0.25">
      <c r="A33" s="2" t="s">
        <v>128</v>
      </c>
      <c r="B33" s="3">
        <v>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EB3A-1E7E-49E9-BD85-59290550B84B}">
  <dimension ref="A1:C33"/>
  <sheetViews>
    <sheetView workbookViewId="0">
      <selection activeCell="B17" sqref="B17"/>
    </sheetView>
  </sheetViews>
  <sheetFormatPr defaultRowHeight="15" x14ac:dyDescent="0.25"/>
  <cols>
    <col min="1" max="1" width="13.42578125" bestFit="1" customWidth="1"/>
    <col min="2" max="2" width="14.7109375" bestFit="1" customWidth="1"/>
    <col min="3" max="3" width="13.28515625" bestFit="1" customWidth="1"/>
  </cols>
  <sheetData>
    <row r="1" spans="1:3" x14ac:dyDescent="0.25">
      <c r="A1" t="s">
        <v>156</v>
      </c>
    </row>
    <row r="2" spans="1:3" x14ac:dyDescent="0.25">
      <c r="A2" t="s">
        <v>157</v>
      </c>
    </row>
    <row r="3" spans="1:3" x14ac:dyDescent="0.25">
      <c r="A3" t="s">
        <v>161</v>
      </c>
    </row>
    <row r="4" spans="1:3" x14ac:dyDescent="0.25">
      <c r="A4" s="1" t="s">
        <v>116</v>
      </c>
      <c r="B4" t="s">
        <v>133</v>
      </c>
      <c r="C4" t="s">
        <v>134</v>
      </c>
    </row>
    <row r="5" spans="1:3" x14ac:dyDescent="0.25">
      <c r="A5" s="2" t="s">
        <v>79</v>
      </c>
      <c r="B5" s="3">
        <v>2170</v>
      </c>
      <c r="C5" s="3">
        <v>2170</v>
      </c>
    </row>
    <row r="6" spans="1:3" x14ac:dyDescent="0.25">
      <c r="A6" s="2" t="s">
        <v>75</v>
      </c>
      <c r="B6" s="3">
        <v>599</v>
      </c>
      <c r="C6" s="3">
        <v>599</v>
      </c>
    </row>
    <row r="7" spans="1:3" x14ac:dyDescent="0.25">
      <c r="A7" s="2" t="s">
        <v>95</v>
      </c>
      <c r="B7" s="3">
        <v>170</v>
      </c>
      <c r="C7" s="3">
        <v>170</v>
      </c>
    </row>
    <row r="8" spans="1:3" x14ac:dyDescent="0.25">
      <c r="A8" s="2" t="s">
        <v>71</v>
      </c>
      <c r="B8" s="3">
        <v>1010</v>
      </c>
      <c r="C8" s="3">
        <v>1010</v>
      </c>
    </row>
    <row r="9" spans="1:3" x14ac:dyDescent="0.25">
      <c r="A9" s="2" t="s">
        <v>67</v>
      </c>
      <c r="B9" s="3">
        <v>87</v>
      </c>
      <c r="C9" s="3">
        <v>87</v>
      </c>
    </row>
    <row r="10" spans="1:3" x14ac:dyDescent="0.25">
      <c r="A10" s="2" t="s">
        <v>87</v>
      </c>
      <c r="B10" s="3">
        <v>242</v>
      </c>
      <c r="C10" s="3">
        <v>242</v>
      </c>
    </row>
    <row r="11" spans="1:3" x14ac:dyDescent="0.25">
      <c r="A11" s="2" t="s">
        <v>63</v>
      </c>
      <c r="B11" s="3">
        <v>834</v>
      </c>
      <c r="C11" s="3">
        <v>834</v>
      </c>
    </row>
    <row r="12" spans="1:3" x14ac:dyDescent="0.25">
      <c r="A12" s="2" t="s">
        <v>55</v>
      </c>
      <c r="B12" s="3">
        <v>371</v>
      </c>
      <c r="C12" s="3">
        <v>371</v>
      </c>
    </row>
    <row r="13" spans="1:3" x14ac:dyDescent="0.25">
      <c r="A13" s="2" t="s">
        <v>51</v>
      </c>
      <c r="B13" s="3">
        <v>1099</v>
      </c>
      <c r="C13" s="3">
        <v>1099</v>
      </c>
    </row>
    <row r="14" spans="1:3" x14ac:dyDescent="0.25">
      <c r="A14" s="2" t="s">
        <v>59</v>
      </c>
      <c r="B14" s="3">
        <v>135</v>
      </c>
      <c r="C14" s="3">
        <v>135</v>
      </c>
    </row>
    <row r="15" spans="1:3" x14ac:dyDescent="0.25">
      <c r="A15" s="2" t="s">
        <v>47</v>
      </c>
      <c r="B15" s="3">
        <v>1562</v>
      </c>
      <c r="C15" s="3">
        <v>1562</v>
      </c>
    </row>
    <row r="16" spans="1:3" x14ac:dyDescent="0.25">
      <c r="A16" s="2" t="s">
        <v>43</v>
      </c>
      <c r="B16" s="3">
        <v>2073</v>
      </c>
      <c r="C16" s="3">
        <v>2073</v>
      </c>
    </row>
    <row r="17" spans="1:3" x14ac:dyDescent="0.25">
      <c r="A17" s="2" t="s">
        <v>39</v>
      </c>
      <c r="B17" s="3">
        <v>4232</v>
      </c>
      <c r="C17" s="3">
        <v>4232</v>
      </c>
    </row>
    <row r="18" spans="1:3" x14ac:dyDescent="0.25">
      <c r="A18" s="2" t="s">
        <v>113</v>
      </c>
      <c r="B18" s="3">
        <v>685</v>
      </c>
      <c r="C18" s="3">
        <v>685</v>
      </c>
    </row>
    <row r="19" spans="1:3" x14ac:dyDescent="0.25">
      <c r="A19" s="2" t="s">
        <v>83</v>
      </c>
      <c r="B19" s="3">
        <v>373</v>
      </c>
      <c r="C19" s="3">
        <v>373</v>
      </c>
    </row>
    <row r="20" spans="1:3" x14ac:dyDescent="0.25">
      <c r="A20" s="2" t="s">
        <v>35</v>
      </c>
      <c r="B20" s="3">
        <v>1126</v>
      </c>
      <c r="C20" s="3">
        <v>1126</v>
      </c>
    </row>
    <row r="21" spans="1:3" x14ac:dyDescent="0.25">
      <c r="A21" s="2" t="s">
        <v>31</v>
      </c>
      <c r="B21" s="3">
        <v>725</v>
      </c>
      <c r="C21" s="3">
        <v>725</v>
      </c>
    </row>
    <row r="22" spans="1:3" x14ac:dyDescent="0.25">
      <c r="A22" s="2" t="s">
        <v>28</v>
      </c>
      <c r="B22" s="3">
        <v>1520</v>
      </c>
      <c r="C22" s="3">
        <v>1520</v>
      </c>
    </row>
    <row r="23" spans="1:3" x14ac:dyDescent="0.25">
      <c r="A23" s="2" t="s">
        <v>106</v>
      </c>
      <c r="B23" s="3">
        <v>1590</v>
      </c>
      <c r="C23" s="3">
        <v>1590</v>
      </c>
    </row>
    <row r="24" spans="1:3" x14ac:dyDescent="0.25">
      <c r="A24" s="2" t="s">
        <v>24</v>
      </c>
      <c r="B24" s="3">
        <v>466</v>
      </c>
      <c r="C24" s="3">
        <v>466</v>
      </c>
    </row>
    <row r="25" spans="1:3" x14ac:dyDescent="0.25">
      <c r="A25" s="2" t="s">
        <v>110</v>
      </c>
      <c r="B25" s="3">
        <v>1365</v>
      </c>
      <c r="C25" s="3">
        <v>1365</v>
      </c>
    </row>
    <row r="26" spans="1:3" x14ac:dyDescent="0.25">
      <c r="A26" s="2" t="s">
        <v>20</v>
      </c>
      <c r="B26" s="3">
        <v>210</v>
      </c>
      <c r="C26" s="3">
        <v>210</v>
      </c>
    </row>
    <row r="27" spans="1:3" x14ac:dyDescent="0.25">
      <c r="A27" s="2" t="s">
        <v>99</v>
      </c>
      <c r="B27" s="3">
        <v>775</v>
      </c>
      <c r="C27" s="3">
        <v>775</v>
      </c>
    </row>
    <row r="28" spans="1:3" x14ac:dyDescent="0.25">
      <c r="A28" s="2" t="s">
        <v>5</v>
      </c>
      <c r="B28" s="3">
        <v>258</v>
      </c>
      <c r="C28" s="3">
        <v>258</v>
      </c>
    </row>
    <row r="29" spans="1:3" x14ac:dyDescent="0.25">
      <c r="A29" s="2" t="s">
        <v>102</v>
      </c>
      <c r="B29" s="3">
        <v>1965</v>
      </c>
      <c r="C29" s="3">
        <v>1965</v>
      </c>
    </row>
    <row r="30" spans="1:3" x14ac:dyDescent="0.25">
      <c r="A30" s="2" t="s">
        <v>91</v>
      </c>
      <c r="B30" s="3">
        <v>305</v>
      </c>
      <c r="C30" s="3">
        <v>305</v>
      </c>
    </row>
    <row r="31" spans="1:3" x14ac:dyDescent="0.25">
      <c r="A31" s="2" t="s">
        <v>13</v>
      </c>
      <c r="B31" s="3">
        <v>1100</v>
      </c>
      <c r="C31" s="3">
        <v>1100</v>
      </c>
    </row>
    <row r="32" spans="1:3" x14ac:dyDescent="0.25">
      <c r="A32" s="2" t="s">
        <v>7</v>
      </c>
      <c r="B32" s="3">
        <v>1123</v>
      </c>
      <c r="C32" s="3">
        <v>1123</v>
      </c>
    </row>
    <row r="33" spans="1:3" x14ac:dyDescent="0.25">
      <c r="A33" s="2" t="s">
        <v>128</v>
      </c>
      <c r="B33" s="3">
        <v>1006.0714285714286</v>
      </c>
      <c r="C33" s="3">
        <v>4232</v>
      </c>
    </row>
  </sheetData>
  <conditionalFormatting sqref="B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B5BA-3E92-4CB1-97A2-C1FF86D09FA3}">
  <dimension ref="A1:B63"/>
  <sheetViews>
    <sheetView workbookViewId="0">
      <selection activeCell="K14" sqref="K14"/>
    </sheetView>
  </sheetViews>
  <sheetFormatPr defaultRowHeight="15" x14ac:dyDescent="0.25"/>
  <cols>
    <col min="1" max="1" width="17.5703125" bestFit="1" customWidth="1"/>
    <col min="2" max="2" width="19.85546875" bestFit="1" customWidth="1"/>
  </cols>
  <sheetData>
    <row r="1" spans="1:2" x14ac:dyDescent="0.25">
      <c r="A1" t="s">
        <v>158</v>
      </c>
    </row>
    <row r="2" spans="1:2" x14ac:dyDescent="0.25">
      <c r="A2" t="s">
        <v>159</v>
      </c>
    </row>
    <row r="3" spans="1:2" x14ac:dyDescent="0.25">
      <c r="A3" t="s">
        <v>160</v>
      </c>
    </row>
    <row r="4" spans="1:2" x14ac:dyDescent="0.25">
      <c r="A4" s="1" t="s">
        <v>116</v>
      </c>
      <c r="B4" t="s">
        <v>131</v>
      </c>
    </row>
    <row r="5" spans="1:2" x14ac:dyDescent="0.25">
      <c r="A5" s="2" t="s">
        <v>136</v>
      </c>
      <c r="B5" s="6">
        <v>0.42857142857142855</v>
      </c>
    </row>
    <row r="6" spans="1:2" x14ac:dyDescent="0.25">
      <c r="A6" s="4" t="s">
        <v>13</v>
      </c>
      <c r="B6" s="6">
        <v>3.5714285714285712E-2</v>
      </c>
    </row>
    <row r="7" spans="1:2" x14ac:dyDescent="0.25">
      <c r="A7" s="5" t="s">
        <v>14</v>
      </c>
      <c r="B7" s="6">
        <v>3.5714285714285712E-2</v>
      </c>
    </row>
    <row r="8" spans="1:2" x14ac:dyDescent="0.25">
      <c r="A8" s="4" t="s">
        <v>5</v>
      </c>
      <c r="B8" s="6">
        <v>3.5714285714285712E-2</v>
      </c>
    </row>
    <row r="9" spans="1:2" x14ac:dyDescent="0.25">
      <c r="A9" s="5" t="s">
        <v>17</v>
      </c>
      <c r="B9" s="6">
        <v>3.5714285714285712E-2</v>
      </c>
    </row>
    <row r="10" spans="1:2" x14ac:dyDescent="0.25">
      <c r="A10" s="4" t="s">
        <v>28</v>
      </c>
      <c r="B10" s="6">
        <v>3.5714285714285712E-2</v>
      </c>
    </row>
    <row r="11" spans="1:2" x14ac:dyDescent="0.25">
      <c r="A11" s="5" t="s">
        <v>4</v>
      </c>
      <c r="B11" s="6">
        <v>3.5714285714285712E-2</v>
      </c>
    </row>
    <row r="12" spans="1:2" x14ac:dyDescent="0.25">
      <c r="A12" s="4" t="s">
        <v>31</v>
      </c>
      <c r="B12" s="6">
        <v>3.5714285714285712E-2</v>
      </c>
    </row>
    <row r="13" spans="1:2" x14ac:dyDescent="0.25">
      <c r="A13" s="5" t="s">
        <v>32</v>
      </c>
      <c r="B13" s="6">
        <v>3.5714285714285712E-2</v>
      </c>
    </row>
    <row r="14" spans="1:2" x14ac:dyDescent="0.25">
      <c r="A14" s="4" t="s">
        <v>113</v>
      </c>
      <c r="B14" s="6">
        <v>3.5714285714285712E-2</v>
      </c>
    </row>
    <row r="15" spans="1:2" x14ac:dyDescent="0.25">
      <c r="A15" s="5" t="s">
        <v>4</v>
      </c>
      <c r="B15" s="6">
        <v>3.5714285714285712E-2</v>
      </c>
    </row>
    <row r="16" spans="1:2" x14ac:dyDescent="0.25">
      <c r="A16" s="4" t="s">
        <v>39</v>
      </c>
      <c r="B16" s="6">
        <v>3.5714285714285712E-2</v>
      </c>
    </row>
    <row r="17" spans="1:2" x14ac:dyDescent="0.25">
      <c r="A17" s="5" t="s">
        <v>40</v>
      </c>
      <c r="B17" s="6">
        <v>3.5714285714285712E-2</v>
      </c>
    </row>
    <row r="18" spans="1:2" x14ac:dyDescent="0.25">
      <c r="A18" s="4" t="s">
        <v>43</v>
      </c>
      <c r="B18" s="6">
        <v>3.5714285714285712E-2</v>
      </c>
    </row>
    <row r="19" spans="1:2" x14ac:dyDescent="0.25">
      <c r="A19" s="5" t="s">
        <v>44</v>
      </c>
      <c r="B19" s="6">
        <v>3.5714285714285712E-2</v>
      </c>
    </row>
    <row r="20" spans="1:2" x14ac:dyDescent="0.25">
      <c r="A20" s="4" t="s">
        <v>55</v>
      </c>
      <c r="B20" s="6">
        <v>3.5714285714285712E-2</v>
      </c>
    </row>
    <row r="21" spans="1:2" x14ac:dyDescent="0.25">
      <c r="A21" s="5" t="s">
        <v>56</v>
      </c>
      <c r="B21" s="6">
        <v>3.5714285714285712E-2</v>
      </c>
    </row>
    <row r="22" spans="1:2" x14ac:dyDescent="0.25">
      <c r="A22" s="4" t="s">
        <v>63</v>
      </c>
      <c r="B22" s="6">
        <v>3.5714285714285712E-2</v>
      </c>
    </row>
    <row r="23" spans="1:2" x14ac:dyDescent="0.25">
      <c r="A23" s="5" t="s">
        <v>64</v>
      </c>
      <c r="B23" s="6">
        <v>3.5714285714285712E-2</v>
      </c>
    </row>
    <row r="24" spans="1:2" x14ac:dyDescent="0.25">
      <c r="A24" s="4" t="s">
        <v>87</v>
      </c>
      <c r="B24" s="6">
        <v>3.5714285714285712E-2</v>
      </c>
    </row>
    <row r="25" spans="1:2" x14ac:dyDescent="0.25">
      <c r="A25" s="5" t="s">
        <v>88</v>
      </c>
      <c r="B25" s="6">
        <v>3.5714285714285712E-2</v>
      </c>
    </row>
    <row r="26" spans="1:2" x14ac:dyDescent="0.25">
      <c r="A26" s="4" t="s">
        <v>75</v>
      </c>
      <c r="B26" s="6">
        <v>3.5714285714285712E-2</v>
      </c>
    </row>
    <row r="27" spans="1:2" x14ac:dyDescent="0.25">
      <c r="A27" s="5" t="s">
        <v>76</v>
      </c>
      <c r="B27" s="6">
        <v>3.5714285714285712E-2</v>
      </c>
    </row>
    <row r="28" spans="1:2" x14ac:dyDescent="0.25">
      <c r="A28" s="4" t="s">
        <v>79</v>
      </c>
      <c r="B28" s="6">
        <v>3.5714285714285712E-2</v>
      </c>
    </row>
    <row r="29" spans="1:2" x14ac:dyDescent="0.25">
      <c r="A29" s="5" t="s">
        <v>80</v>
      </c>
      <c r="B29" s="6">
        <v>3.5714285714285712E-2</v>
      </c>
    </row>
    <row r="30" spans="1:2" x14ac:dyDescent="0.25">
      <c r="A30" s="2" t="s">
        <v>137</v>
      </c>
      <c r="B30" s="6">
        <v>0.5714285714285714</v>
      </c>
    </row>
    <row r="31" spans="1:2" x14ac:dyDescent="0.25">
      <c r="A31" s="4" t="s">
        <v>7</v>
      </c>
      <c r="B31" s="6">
        <v>3.5714285714285712E-2</v>
      </c>
    </row>
    <row r="32" spans="1:2" x14ac:dyDescent="0.25">
      <c r="A32" s="5" t="s">
        <v>9</v>
      </c>
      <c r="B32" s="6">
        <v>3.5714285714285712E-2</v>
      </c>
    </row>
    <row r="33" spans="1:2" x14ac:dyDescent="0.25">
      <c r="A33" s="4" t="s">
        <v>91</v>
      </c>
      <c r="B33" s="6">
        <v>3.5714285714285712E-2</v>
      </c>
    </row>
    <row r="34" spans="1:2" x14ac:dyDescent="0.25">
      <c r="A34" s="5" t="s">
        <v>92</v>
      </c>
      <c r="B34" s="6">
        <v>3.5714285714285712E-2</v>
      </c>
    </row>
    <row r="35" spans="1:2" x14ac:dyDescent="0.25">
      <c r="A35" s="4" t="s">
        <v>102</v>
      </c>
      <c r="B35" s="6">
        <v>3.5714285714285712E-2</v>
      </c>
    </row>
    <row r="36" spans="1:2" x14ac:dyDescent="0.25">
      <c r="A36" s="5" t="s">
        <v>103</v>
      </c>
      <c r="B36" s="6">
        <v>3.5714285714285712E-2</v>
      </c>
    </row>
    <row r="37" spans="1:2" x14ac:dyDescent="0.25">
      <c r="A37" s="4" t="s">
        <v>99</v>
      </c>
      <c r="B37" s="6">
        <v>3.5714285714285712E-2</v>
      </c>
    </row>
    <row r="38" spans="1:2" x14ac:dyDescent="0.25">
      <c r="A38" s="5" t="s">
        <v>4</v>
      </c>
      <c r="B38" s="6">
        <v>3.5714285714285712E-2</v>
      </c>
    </row>
    <row r="39" spans="1:2" x14ac:dyDescent="0.25">
      <c r="A39" s="4" t="s">
        <v>20</v>
      </c>
      <c r="B39" s="6">
        <v>3.5714285714285712E-2</v>
      </c>
    </row>
    <row r="40" spans="1:2" x14ac:dyDescent="0.25">
      <c r="A40" s="5" t="s">
        <v>21</v>
      </c>
      <c r="B40" s="6">
        <v>3.5714285714285712E-2</v>
      </c>
    </row>
    <row r="41" spans="1:2" x14ac:dyDescent="0.25">
      <c r="A41" s="4" t="s">
        <v>110</v>
      </c>
      <c r="B41" s="6">
        <v>3.5714285714285712E-2</v>
      </c>
    </row>
    <row r="42" spans="1:2" x14ac:dyDescent="0.25">
      <c r="A42" s="5" t="s">
        <v>4</v>
      </c>
      <c r="B42" s="6">
        <v>3.5714285714285712E-2</v>
      </c>
    </row>
    <row r="43" spans="1:2" x14ac:dyDescent="0.25">
      <c r="A43" s="4" t="s">
        <v>24</v>
      </c>
      <c r="B43" s="6">
        <v>3.5714285714285712E-2</v>
      </c>
    </row>
    <row r="44" spans="1:2" x14ac:dyDescent="0.25">
      <c r="A44" s="5" t="s">
        <v>25</v>
      </c>
      <c r="B44" s="6">
        <v>3.5714285714285712E-2</v>
      </c>
    </row>
    <row r="45" spans="1:2" x14ac:dyDescent="0.25">
      <c r="A45" s="4" t="s">
        <v>106</v>
      </c>
      <c r="B45" s="6">
        <v>3.5714285714285712E-2</v>
      </c>
    </row>
    <row r="46" spans="1:2" x14ac:dyDescent="0.25">
      <c r="A46" s="5" t="s">
        <v>107</v>
      </c>
      <c r="B46" s="6">
        <v>3.5714285714285712E-2</v>
      </c>
    </row>
    <row r="47" spans="1:2" x14ac:dyDescent="0.25">
      <c r="A47" s="4" t="s">
        <v>35</v>
      </c>
      <c r="B47" s="6">
        <v>3.5714285714285712E-2</v>
      </c>
    </row>
    <row r="48" spans="1:2" x14ac:dyDescent="0.25">
      <c r="A48" s="5" t="s">
        <v>36</v>
      </c>
      <c r="B48" s="6">
        <v>3.5714285714285712E-2</v>
      </c>
    </row>
    <row r="49" spans="1:2" x14ac:dyDescent="0.25">
      <c r="A49" s="4" t="s">
        <v>83</v>
      </c>
      <c r="B49" s="6">
        <v>3.5714285714285712E-2</v>
      </c>
    </row>
    <row r="50" spans="1:2" x14ac:dyDescent="0.25">
      <c r="A50" s="5" t="s">
        <v>84</v>
      </c>
      <c r="B50" s="6">
        <v>3.5714285714285712E-2</v>
      </c>
    </row>
    <row r="51" spans="1:2" x14ac:dyDescent="0.25">
      <c r="A51" s="4" t="s">
        <v>47</v>
      </c>
      <c r="B51" s="6">
        <v>3.5714285714285712E-2</v>
      </c>
    </row>
    <row r="52" spans="1:2" x14ac:dyDescent="0.25">
      <c r="A52" s="5" t="s">
        <v>48</v>
      </c>
      <c r="B52" s="6">
        <v>3.5714285714285712E-2</v>
      </c>
    </row>
    <row r="53" spans="1:2" x14ac:dyDescent="0.25">
      <c r="A53" s="4" t="s">
        <v>59</v>
      </c>
      <c r="B53" s="6">
        <v>3.5714285714285712E-2</v>
      </c>
    </row>
    <row r="54" spans="1:2" x14ac:dyDescent="0.25">
      <c r="A54" s="5" t="s">
        <v>60</v>
      </c>
      <c r="B54" s="6">
        <v>3.5714285714285712E-2</v>
      </c>
    </row>
    <row r="55" spans="1:2" x14ac:dyDescent="0.25">
      <c r="A55" s="4" t="s">
        <v>51</v>
      </c>
      <c r="B55" s="6">
        <v>3.5714285714285712E-2</v>
      </c>
    </row>
    <row r="56" spans="1:2" x14ac:dyDescent="0.25">
      <c r="A56" s="5" t="s">
        <v>52</v>
      </c>
      <c r="B56" s="6">
        <v>3.5714285714285712E-2</v>
      </c>
    </row>
    <row r="57" spans="1:2" x14ac:dyDescent="0.25">
      <c r="A57" s="4" t="s">
        <v>67</v>
      </c>
      <c r="B57" s="6">
        <v>3.5714285714285712E-2</v>
      </c>
    </row>
    <row r="58" spans="1:2" x14ac:dyDescent="0.25">
      <c r="A58" s="5" t="s">
        <v>68</v>
      </c>
      <c r="B58" s="6">
        <v>3.5714285714285712E-2</v>
      </c>
    </row>
    <row r="59" spans="1:2" x14ac:dyDescent="0.25">
      <c r="A59" s="4" t="s">
        <v>71</v>
      </c>
      <c r="B59" s="6">
        <v>3.5714285714285712E-2</v>
      </c>
    </row>
    <row r="60" spans="1:2" x14ac:dyDescent="0.25">
      <c r="A60" s="5" t="s">
        <v>72</v>
      </c>
      <c r="B60" s="6">
        <v>3.5714285714285712E-2</v>
      </c>
    </row>
    <row r="61" spans="1:2" x14ac:dyDescent="0.25">
      <c r="A61" s="4" t="s">
        <v>95</v>
      </c>
      <c r="B61" s="6">
        <v>3.5714285714285712E-2</v>
      </c>
    </row>
    <row r="62" spans="1:2" x14ac:dyDescent="0.25">
      <c r="A62" s="5" t="s">
        <v>96</v>
      </c>
      <c r="B62" s="6">
        <v>3.5714285714285712E-2</v>
      </c>
    </row>
    <row r="63" spans="1:2" x14ac:dyDescent="0.25">
      <c r="A63" s="2" t="s">
        <v>128</v>
      </c>
      <c r="B63" s="6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247C-CC53-4F98-9E4A-3807F301EA2A}">
  <dimension ref="A1:H11"/>
  <sheetViews>
    <sheetView workbookViewId="0">
      <selection activeCell="A5" sqref="A5"/>
    </sheetView>
  </sheetViews>
  <sheetFormatPr defaultRowHeight="15" x14ac:dyDescent="0.25"/>
  <cols>
    <col min="1" max="1" width="18.28515625" bestFit="1" customWidth="1"/>
    <col min="2" max="2" width="16.85546875" bestFit="1" customWidth="1"/>
    <col min="3" max="6" width="6" bestFit="1" customWidth="1"/>
    <col min="7" max="7" width="5.7109375" bestFit="1" customWidth="1"/>
    <col min="8" max="8" width="11.28515625" bestFit="1" customWidth="1"/>
    <col min="9" max="9" width="8" bestFit="1" customWidth="1"/>
    <col min="10" max="10" width="12" bestFit="1" customWidth="1"/>
    <col min="11" max="11" width="9" bestFit="1" customWidth="1"/>
    <col min="12" max="12" width="8" bestFit="1" customWidth="1"/>
    <col min="13" max="16" width="12" bestFit="1" customWidth="1"/>
    <col min="17" max="17" width="11" bestFit="1" customWidth="1"/>
    <col min="18" max="18" width="8" bestFit="1" customWidth="1"/>
    <col min="19" max="19" width="6" bestFit="1" customWidth="1"/>
    <col min="20" max="20" width="12" bestFit="1" customWidth="1"/>
    <col min="21" max="22" width="8" bestFit="1" customWidth="1"/>
    <col min="23" max="23" width="12" bestFit="1" customWidth="1"/>
    <col min="24" max="24" width="9" bestFit="1" customWidth="1"/>
    <col min="25" max="25" width="6" bestFit="1" customWidth="1"/>
    <col min="26" max="26" width="12" bestFit="1" customWidth="1"/>
    <col min="27" max="27" width="9" bestFit="1" customWidth="1"/>
    <col min="28" max="29" width="12" bestFit="1" customWidth="1"/>
    <col min="30" max="30" width="11.28515625" bestFit="1" customWidth="1"/>
  </cols>
  <sheetData>
    <row r="1" spans="1:8" x14ac:dyDescent="0.25">
      <c r="A1" t="s">
        <v>162</v>
      </c>
    </row>
    <row r="2" spans="1:8" x14ac:dyDescent="0.25">
      <c r="A2" t="s">
        <v>163</v>
      </c>
    </row>
    <row r="3" spans="1:8" x14ac:dyDescent="0.25">
      <c r="A3" t="s">
        <v>164</v>
      </c>
    </row>
    <row r="4" spans="1:8" x14ac:dyDescent="0.25">
      <c r="A4" s="1" t="s">
        <v>130</v>
      </c>
      <c r="B4" s="1" t="s">
        <v>143</v>
      </c>
    </row>
    <row r="5" spans="1:8" x14ac:dyDescent="0.25">
      <c r="A5" s="1" t="s">
        <v>120</v>
      </c>
      <c r="B5" t="s">
        <v>144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128</v>
      </c>
    </row>
    <row r="6" spans="1:8" x14ac:dyDescent="0.25">
      <c r="A6" s="2" t="s">
        <v>140</v>
      </c>
      <c r="B6" s="3">
        <v>267</v>
      </c>
      <c r="C6" s="3">
        <v>274</v>
      </c>
      <c r="D6" s="3">
        <v>528</v>
      </c>
      <c r="E6" s="3"/>
      <c r="F6" s="3">
        <v>13735</v>
      </c>
      <c r="G6" s="3"/>
      <c r="H6" s="3">
        <v>14804</v>
      </c>
    </row>
    <row r="7" spans="1:8" x14ac:dyDescent="0.25">
      <c r="A7" s="2" t="s">
        <v>139</v>
      </c>
      <c r="B7" s="3">
        <v>539</v>
      </c>
      <c r="C7" s="3">
        <v>10348</v>
      </c>
      <c r="D7" s="3">
        <v>536</v>
      </c>
      <c r="E7" s="3"/>
      <c r="F7" s="3"/>
      <c r="G7" s="3"/>
      <c r="H7" s="3">
        <v>11423</v>
      </c>
    </row>
    <row r="8" spans="1:8" x14ac:dyDescent="0.25">
      <c r="A8" s="2" t="s">
        <v>138</v>
      </c>
      <c r="B8" s="3"/>
      <c r="C8" s="3">
        <v>7247</v>
      </c>
      <c r="D8" s="3">
        <v>16819</v>
      </c>
      <c r="E8" s="3"/>
      <c r="F8" s="3"/>
      <c r="G8" s="3"/>
      <c r="H8" s="3">
        <v>24066</v>
      </c>
    </row>
    <row r="9" spans="1:8" x14ac:dyDescent="0.25">
      <c r="A9" s="2" t="s">
        <v>142</v>
      </c>
      <c r="B9" s="3">
        <v>13454</v>
      </c>
      <c r="C9" s="3">
        <v>541</v>
      </c>
      <c r="D9" s="3">
        <v>270</v>
      </c>
      <c r="E9" s="3"/>
      <c r="F9" s="3"/>
      <c r="G9" s="3"/>
      <c r="H9" s="3">
        <v>14265</v>
      </c>
    </row>
    <row r="10" spans="1:8" x14ac:dyDescent="0.25">
      <c r="A10" s="2" t="s">
        <v>141</v>
      </c>
      <c r="B10" s="3"/>
      <c r="C10" s="3"/>
      <c r="D10" s="3">
        <v>547</v>
      </c>
      <c r="E10" s="3">
        <v>40368</v>
      </c>
      <c r="F10" s="3"/>
      <c r="G10" s="3">
        <v>271</v>
      </c>
      <c r="H10" s="3">
        <v>41186</v>
      </c>
    </row>
    <row r="11" spans="1:8" x14ac:dyDescent="0.25">
      <c r="A11" s="2" t="s">
        <v>128</v>
      </c>
      <c r="B11" s="3">
        <v>14260</v>
      </c>
      <c r="C11" s="3">
        <v>18410</v>
      </c>
      <c r="D11" s="3">
        <v>18700</v>
      </c>
      <c r="E11" s="3">
        <v>40368</v>
      </c>
      <c r="F11" s="3">
        <v>13735</v>
      </c>
      <c r="G11" s="3">
        <v>271</v>
      </c>
      <c r="H11" s="3">
        <v>105744</v>
      </c>
    </row>
  </sheetData>
  <conditionalFormatting pivot="1" sqref="B6:H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9574-D138-4100-AE73-75101144BC0D}">
  <dimension ref="A1:C61"/>
  <sheetViews>
    <sheetView workbookViewId="0">
      <selection activeCell="H20" sqref="H20"/>
    </sheetView>
  </sheetViews>
  <sheetFormatPr defaultRowHeight="15" x14ac:dyDescent="0.25"/>
  <cols>
    <col min="1" max="1" width="16.28515625" bestFit="1" customWidth="1"/>
    <col min="2" max="2" width="27" bestFit="1" customWidth="1"/>
    <col min="3" max="3" width="18.28515625" bestFit="1" customWidth="1"/>
  </cols>
  <sheetData>
    <row r="1" spans="1:3" x14ac:dyDescent="0.25">
      <c r="A1" t="s">
        <v>165</v>
      </c>
    </row>
    <row r="2" spans="1:3" x14ac:dyDescent="0.25">
      <c r="A2" t="s">
        <v>166</v>
      </c>
    </row>
    <row r="3" spans="1:3" x14ac:dyDescent="0.25">
      <c r="A3" t="s">
        <v>167</v>
      </c>
    </row>
    <row r="4" spans="1:3" x14ac:dyDescent="0.25">
      <c r="A4" s="1" t="s">
        <v>152</v>
      </c>
      <c r="B4" t="s">
        <v>151</v>
      </c>
      <c r="C4" t="s">
        <v>132</v>
      </c>
    </row>
    <row r="5" spans="1:3" x14ac:dyDescent="0.25">
      <c r="A5" s="2" t="s">
        <v>79</v>
      </c>
      <c r="B5" s="3">
        <v>75</v>
      </c>
      <c r="C5" s="3">
        <v>2170</v>
      </c>
    </row>
    <row r="6" spans="1:3" x14ac:dyDescent="0.25">
      <c r="A6" s="4" t="s">
        <v>136</v>
      </c>
      <c r="B6" s="3">
        <v>75</v>
      </c>
      <c r="C6" s="3">
        <v>2170</v>
      </c>
    </row>
    <row r="7" spans="1:3" x14ac:dyDescent="0.25">
      <c r="A7" s="2" t="s">
        <v>75</v>
      </c>
      <c r="B7" s="3">
        <v>100</v>
      </c>
      <c r="C7" s="3">
        <v>599</v>
      </c>
    </row>
    <row r="8" spans="1:3" x14ac:dyDescent="0.25">
      <c r="A8" s="4" t="s">
        <v>136</v>
      </c>
      <c r="B8" s="3">
        <v>100</v>
      </c>
      <c r="C8" s="3">
        <v>599</v>
      </c>
    </row>
    <row r="9" spans="1:3" x14ac:dyDescent="0.25">
      <c r="A9" s="2" t="s">
        <v>95</v>
      </c>
      <c r="B9" s="3">
        <v>100</v>
      </c>
      <c r="C9" s="3">
        <v>170</v>
      </c>
    </row>
    <row r="10" spans="1:3" x14ac:dyDescent="0.25">
      <c r="A10" s="4" t="s">
        <v>137</v>
      </c>
      <c r="B10" s="3">
        <v>100</v>
      </c>
      <c r="C10" s="3">
        <v>170</v>
      </c>
    </row>
    <row r="11" spans="1:3" x14ac:dyDescent="0.25">
      <c r="A11" s="2" t="s">
        <v>71</v>
      </c>
      <c r="B11" s="3">
        <v>75</v>
      </c>
      <c r="C11" s="3">
        <v>1010</v>
      </c>
    </row>
    <row r="12" spans="1:3" x14ac:dyDescent="0.25">
      <c r="A12" s="4" t="s">
        <v>137</v>
      </c>
      <c r="B12" s="3">
        <v>75</v>
      </c>
      <c r="C12" s="3">
        <v>1010</v>
      </c>
    </row>
    <row r="13" spans="1:3" x14ac:dyDescent="0.25">
      <c r="A13" s="2" t="s">
        <v>67</v>
      </c>
      <c r="B13" s="3">
        <v>100</v>
      </c>
      <c r="C13" s="3">
        <v>87</v>
      </c>
    </row>
    <row r="14" spans="1:3" x14ac:dyDescent="0.25">
      <c r="A14" s="4" t="s">
        <v>137</v>
      </c>
      <c r="B14" s="3">
        <v>100</v>
      </c>
      <c r="C14" s="3">
        <v>87</v>
      </c>
    </row>
    <row r="15" spans="1:3" x14ac:dyDescent="0.25">
      <c r="A15" s="2" t="s">
        <v>87</v>
      </c>
      <c r="B15" s="3">
        <v>100</v>
      </c>
      <c r="C15" s="3">
        <v>242</v>
      </c>
    </row>
    <row r="16" spans="1:3" x14ac:dyDescent="0.25">
      <c r="A16" s="4" t="s">
        <v>136</v>
      </c>
      <c r="B16" s="3">
        <v>100</v>
      </c>
      <c r="C16" s="3">
        <v>242</v>
      </c>
    </row>
    <row r="17" spans="1:3" x14ac:dyDescent="0.25">
      <c r="A17" s="2" t="s">
        <v>63</v>
      </c>
      <c r="B17" s="3">
        <v>100</v>
      </c>
      <c r="C17" s="3">
        <v>834</v>
      </c>
    </row>
    <row r="18" spans="1:3" x14ac:dyDescent="0.25">
      <c r="A18" s="4" t="s">
        <v>136</v>
      </c>
      <c r="B18" s="3">
        <v>100</v>
      </c>
      <c r="C18" s="3">
        <v>834</v>
      </c>
    </row>
    <row r="19" spans="1:3" x14ac:dyDescent="0.25">
      <c r="A19" s="2" t="s">
        <v>55</v>
      </c>
      <c r="B19" s="3">
        <v>100</v>
      </c>
      <c r="C19" s="3">
        <v>371</v>
      </c>
    </row>
    <row r="20" spans="1:3" x14ac:dyDescent="0.25">
      <c r="A20" s="4" t="s">
        <v>136</v>
      </c>
      <c r="B20" s="3">
        <v>100</v>
      </c>
      <c r="C20" s="3">
        <v>371</v>
      </c>
    </row>
    <row r="21" spans="1:3" x14ac:dyDescent="0.25">
      <c r="A21" s="2" t="s">
        <v>51</v>
      </c>
      <c r="B21" s="3">
        <v>75</v>
      </c>
      <c r="C21" s="3">
        <v>1099</v>
      </c>
    </row>
    <row r="22" spans="1:3" x14ac:dyDescent="0.25">
      <c r="A22" s="4" t="s">
        <v>137</v>
      </c>
      <c r="B22" s="3">
        <v>75</v>
      </c>
      <c r="C22" s="3">
        <v>1099</v>
      </c>
    </row>
    <row r="23" spans="1:3" x14ac:dyDescent="0.25">
      <c r="A23" s="2" t="s">
        <v>59</v>
      </c>
      <c r="B23" s="3">
        <v>100</v>
      </c>
      <c r="C23" s="3">
        <v>135</v>
      </c>
    </row>
    <row r="24" spans="1:3" x14ac:dyDescent="0.25">
      <c r="A24" s="4" t="s">
        <v>137</v>
      </c>
      <c r="B24" s="3">
        <v>100</v>
      </c>
      <c r="C24" s="3">
        <v>135</v>
      </c>
    </row>
    <row r="25" spans="1:3" x14ac:dyDescent="0.25">
      <c r="A25" s="2" t="s">
        <v>47</v>
      </c>
      <c r="B25" s="3">
        <v>75</v>
      </c>
      <c r="C25" s="3">
        <v>1562</v>
      </c>
    </row>
    <row r="26" spans="1:3" x14ac:dyDescent="0.25">
      <c r="A26" s="4" t="s">
        <v>137</v>
      </c>
      <c r="B26" s="3">
        <v>75</v>
      </c>
      <c r="C26" s="3">
        <v>1562</v>
      </c>
    </row>
    <row r="27" spans="1:3" x14ac:dyDescent="0.25">
      <c r="A27" s="2" t="s">
        <v>43</v>
      </c>
      <c r="B27" s="3">
        <v>75</v>
      </c>
      <c r="C27" s="3">
        <v>2073</v>
      </c>
    </row>
    <row r="28" spans="1:3" x14ac:dyDescent="0.25">
      <c r="A28" s="4" t="s">
        <v>136</v>
      </c>
      <c r="B28" s="3">
        <v>75</v>
      </c>
      <c r="C28" s="3">
        <v>2073</v>
      </c>
    </row>
    <row r="29" spans="1:3" x14ac:dyDescent="0.25">
      <c r="A29" s="2" t="s">
        <v>39</v>
      </c>
      <c r="B29" s="3">
        <v>50</v>
      </c>
      <c r="C29" s="3">
        <v>4232</v>
      </c>
    </row>
    <row r="30" spans="1:3" x14ac:dyDescent="0.25">
      <c r="A30" s="4" t="s">
        <v>136</v>
      </c>
      <c r="B30" s="3">
        <v>50</v>
      </c>
      <c r="C30" s="3">
        <v>4232</v>
      </c>
    </row>
    <row r="31" spans="1:3" x14ac:dyDescent="0.25">
      <c r="A31" s="2" t="s">
        <v>113</v>
      </c>
      <c r="B31" s="3">
        <v>100</v>
      </c>
      <c r="C31" s="3">
        <v>685</v>
      </c>
    </row>
    <row r="32" spans="1:3" x14ac:dyDescent="0.25">
      <c r="A32" s="4" t="s">
        <v>136</v>
      </c>
      <c r="B32" s="3">
        <v>100</v>
      </c>
      <c r="C32" s="3">
        <v>685</v>
      </c>
    </row>
    <row r="33" spans="1:3" x14ac:dyDescent="0.25">
      <c r="A33" s="2" t="s">
        <v>83</v>
      </c>
      <c r="B33" s="3">
        <v>100</v>
      </c>
      <c r="C33" s="3">
        <v>373</v>
      </c>
    </row>
    <row r="34" spans="1:3" x14ac:dyDescent="0.25">
      <c r="A34" s="4" t="s">
        <v>137</v>
      </c>
      <c r="B34" s="3">
        <v>100</v>
      </c>
      <c r="C34" s="3">
        <v>373</v>
      </c>
    </row>
    <row r="35" spans="1:3" x14ac:dyDescent="0.25">
      <c r="A35" s="2" t="s">
        <v>35</v>
      </c>
      <c r="B35" s="3">
        <v>75</v>
      </c>
      <c r="C35" s="3">
        <v>1126</v>
      </c>
    </row>
    <row r="36" spans="1:3" x14ac:dyDescent="0.25">
      <c r="A36" s="4" t="s">
        <v>137</v>
      </c>
      <c r="B36" s="3">
        <v>75</v>
      </c>
      <c r="C36" s="3">
        <v>1126</v>
      </c>
    </row>
    <row r="37" spans="1:3" x14ac:dyDescent="0.25">
      <c r="A37" s="2" t="s">
        <v>31</v>
      </c>
      <c r="B37" s="3">
        <v>100</v>
      </c>
      <c r="C37" s="3">
        <v>725</v>
      </c>
    </row>
    <row r="38" spans="1:3" x14ac:dyDescent="0.25">
      <c r="A38" s="4" t="s">
        <v>136</v>
      </c>
      <c r="B38" s="3">
        <v>100</v>
      </c>
      <c r="C38" s="3">
        <v>725</v>
      </c>
    </row>
    <row r="39" spans="1:3" x14ac:dyDescent="0.25">
      <c r="A39" s="2" t="s">
        <v>28</v>
      </c>
      <c r="B39" s="3">
        <v>75</v>
      </c>
      <c r="C39" s="3">
        <v>1520</v>
      </c>
    </row>
    <row r="40" spans="1:3" x14ac:dyDescent="0.25">
      <c r="A40" s="4" t="s">
        <v>136</v>
      </c>
      <c r="B40" s="3">
        <v>75</v>
      </c>
      <c r="C40" s="3">
        <v>1520</v>
      </c>
    </row>
    <row r="41" spans="1:3" x14ac:dyDescent="0.25">
      <c r="A41" s="2" t="s">
        <v>106</v>
      </c>
      <c r="B41" s="3">
        <v>75</v>
      </c>
      <c r="C41" s="3">
        <v>1590</v>
      </c>
    </row>
    <row r="42" spans="1:3" x14ac:dyDescent="0.25">
      <c r="A42" s="4" t="s">
        <v>137</v>
      </c>
      <c r="B42" s="3">
        <v>75</v>
      </c>
      <c r="C42" s="3">
        <v>1590</v>
      </c>
    </row>
    <row r="43" spans="1:3" x14ac:dyDescent="0.25">
      <c r="A43" s="2" t="s">
        <v>24</v>
      </c>
      <c r="B43" s="3">
        <v>100</v>
      </c>
      <c r="C43" s="3">
        <v>466</v>
      </c>
    </row>
    <row r="44" spans="1:3" x14ac:dyDescent="0.25">
      <c r="A44" s="4" t="s">
        <v>137</v>
      </c>
      <c r="B44" s="3">
        <v>100</v>
      </c>
      <c r="C44" s="3">
        <v>466</v>
      </c>
    </row>
    <row r="45" spans="1:3" x14ac:dyDescent="0.25">
      <c r="A45" s="2" t="s">
        <v>110</v>
      </c>
      <c r="B45" s="3">
        <v>75</v>
      </c>
      <c r="C45" s="3">
        <v>1365</v>
      </c>
    </row>
    <row r="46" spans="1:3" x14ac:dyDescent="0.25">
      <c r="A46" s="4" t="s">
        <v>137</v>
      </c>
      <c r="B46" s="3">
        <v>75</v>
      </c>
      <c r="C46" s="3">
        <v>1365</v>
      </c>
    </row>
    <row r="47" spans="1:3" x14ac:dyDescent="0.25">
      <c r="A47" s="2" t="s">
        <v>20</v>
      </c>
      <c r="B47" s="3">
        <v>100</v>
      </c>
      <c r="C47" s="3">
        <v>210</v>
      </c>
    </row>
    <row r="48" spans="1:3" x14ac:dyDescent="0.25">
      <c r="A48" s="4" t="s">
        <v>137</v>
      </c>
      <c r="B48" s="3">
        <v>100</v>
      </c>
      <c r="C48" s="3">
        <v>210</v>
      </c>
    </row>
    <row r="49" spans="1:3" x14ac:dyDescent="0.25">
      <c r="A49" s="2" t="s">
        <v>99</v>
      </c>
      <c r="B49" s="3">
        <v>100</v>
      </c>
      <c r="C49" s="3">
        <v>775</v>
      </c>
    </row>
    <row r="50" spans="1:3" x14ac:dyDescent="0.25">
      <c r="A50" s="4" t="s">
        <v>137</v>
      </c>
      <c r="B50" s="3">
        <v>100</v>
      </c>
      <c r="C50" s="3">
        <v>775</v>
      </c>
    </row>
    <row r="51" spans="1:3" x14ac:dyDescent="0.25">
      <c r="A51" s="2" t="s">
        <v>5</v>
      </c>
      <c r="B51" s="3">
        <v>100</v>
      </c>
      <c r="C51" s="3">
        <v>258</v>
      </c>
    </row>
    <row r="52" spans="1:3" x14ac:dyDescent="0.25">
      <c r="A52" s="4" t="s">
        <v>136</v>
      </c>
      <c r="B52" s="3">
        <v>100</v>
      </c>
      <c r="C52" s="3">
        <v>258</v>
      </c>
    </row>
    <row r="53" spans="1:3" x14ac:dyDescent="0.25">
      <c r="A53" s="2" t="s">
        <v>102</v>
      </c>
      <c r="B53" s="3">
        <v>75</v>
      </c>
      <c r="C53" s="3">
        <v>1965</v>
      </c>
    </row>
    <row r="54" spans="1:3" x14ac:dyDescent="0.25">
      <c r="A54" s="4" t="s">
        <v>137</v>
      </c>
      <c r="B54" s="3">
        <v>75</v>
      </c>
      <c r="C54" s="3">
        <v>1965</v>
      </c>
    </row>
    <row r="55" spans="1:3" x14ac:dyDescent="0.25">
      <c r="A55" s="2" t="s">
        <v>91</v>
      </c>
      <c r="B55" s="3">
        <v>100</v>
      </c>
      <c r="C55" s="3">
        <v>305</v>
      </c>
    </row>
    <row r="56" spans="1:3" x14ac:dyDescent="0.25">
      <c r="A56" s="4" t="s">
        <v>137</v>
      </c>
      <c r="B56" s="3">
        <v>100</v>
      </c>
      <c r="C56" s="3">
        <v>305</v>
      </c>
    </row>
    <row r="57" spans="1:3" x14ac:dyDescent="0.25">
      <c r="A57" s="2" t="s">
        <v>13</v>
      </c>
      <c r="B57" s="3">
        <v>75</v>
      </c>
      <c r="C57" s="3">
        <v>1100</v>
      </c>
    </row>
    <row r="58" spans="1:3" x14ac:dyDescent="0.25">
      <c r="A58" s="4" t="s">
        <v>136</v>
      </c>
      <c r="B58" s="3">
        <v>75</v>
      </c>
      <c r="C58" s="3">
        <v>1100</v>
      </c>
    </row>
    <row r="59" spans="1:3" x14ac:dyDescent="0.25">
      <c r="A59" s="2" t="s">
        <v>7</v>
      </c>
      <c r="B59" s="3">
        <v>75</v>
      </c>
      <c r="C59" s="3">
        <v>1123</v>
      </c>
    </row>
    <row r="60" spans="1:3" x14ac:dyDescent="0.25">
      <c r="A60" s="4" t="s">
        <v>137</v>
      </c>
      <c r="B60" s="3">
        <v>75</v>
      </c>
      <c r="C60" s="3">
        <v>1123</v>
      </c>
    </row>
    <row r="61" spans="1:3" x14ac:dyDescent="0.25">
      <c r="A61" s="2" t="s">
        <v>128</v>
      </c>
      <c r="B61" s="3">
        <v>87.5</v>
      </c>
      <c r="C61" s="3">
        <v>1006.0714285714286</v>
      </c>
    </row>
  </sheetData>
  <conditionalFormatting sqref="B1:B4 B62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{47FA07EF-B068-4ECB-BFC5-8E29CF3152B5}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FA07EF-B068-4ECB-BFC5-8E29CF3152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B1:B4 B62:B1048576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41E9-DC95-484C-B3CC-AD4801D4D8E3}">
  <dimension ref="G33"/>
  <sheetViews>
    <sheetView tabSelected="1" topLeftCell="A11" workbookViewId="0">
      <selection activeCell="E34" sqref="E34"/>
    </sheetView>
  </sheetViews>
  <sheetFormatPr defaultRowHeight="15" x14ac:dyDescent="0.25"/>
  <sheetData>
    <row r="33" spans="7:7" ht="21" x14ac:dyDescent="0.35">
      <c r="G33" s="7" t="s">
        <v>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nigeria dataset</vt:lpstr>
      <vt:lpstr>pivot table 1</vt:lpstr>
      <vt:lpstr>pivot table 2</vt:lpstr>
      <vt:lpstr>pivot table 3</vt:lpstr>
      <vt:lpstr>pivot table 4</vt:lpstr>
      <vt:lpstr>pivot table 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Imoke</dc:creator>
  <cp:lastModifiedBy>Enoch Imoke</cp:lastModifiedBy>
  <dcterms:created xsi:type="dcterms:W3CDTF">2026-01-08T10:29:20Z</dcterms:created>
  <dcterms:modified xsi:type="dcterms:W3CDTF">2026-01-08T22:59:40Z</dcterms:modified>
</cp:coreProperties>
</file>